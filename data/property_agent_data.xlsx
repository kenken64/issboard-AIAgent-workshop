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s" sheetId="1" state="visible" r:id="rId3"/>
    <sheet name="Property_Preferences" sheetId="2" state="visible" r:id="rId4"/>
    <sheet name="Listings_Shortlist" sheetId="3" state="visible" r:id="rId5"/>
    <sheet name="Viewings_Log" sheetId="4" state="visible" r:id="rId6"/>
    <sheet name="Follow_Ups" sheetId="5" state="visible" r:id="rId7"/>
    <sheet name="Pipeline" sheetId="6" state="visible" r:id="rId8"/>
    <sheet name="Not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<sst xmlns="http://schemas.openxmlformats.org/spreadsheetml/2006/main" count="903" uniqueCount="637">
  <si>
    <t xml:space="preserve">Client_ID</t>
  </si>
  <si>
    <t xml:space="preserve">Full_Name</t>
  </si>
  <si>
    <t xml:space="preserve">Preferred_Name</t>
  </si>
  <si>
    <t xml:space="preserve">Mobile</t>
  </si>
  <si>
    <t xml:space="preserve">Email</t>
  </si>
  <si>
    <t xml:space="preserve">Nationality_Residency</t>
  </si>
  <si>
    <t xml:space="preserve">Age_Band</t>
  </si>
  <si>
    <t xml:space="preserve">Occupation</t>
  </si>
  <si>
    <t xml:space="preserve">Household_Size</t>
  </si>
  <si>
    <t xml:space="preserve">Children_Ages</t>
  </si>
  <si>
    <t xml:space="preserve">Source_Of_Lead</t>
  </si>
  <si>
    <t xml:space="preserve">First_Contact_Date</t>
  </si>
  <si>
    <t xml:space="preserve">Communication_Preference</t>
  </si>
  <si>
    <t xml:space="preserve">Language</t>
  </si>
  <si>
    <t xml:space="preserve">Important_Personal_Notes</t>
  </si>
  <si>
    <t xml:space="preserve">CL-001</t>
  </si>
  <si>
    <t xml:space="preserve">Tan Wei Ming &amp; Lim Hui Fen</t>
  </si>
  <si>
    <t xml:space="preserve">Wei Ming</t>
  </si>
  <si>
    <t xml:space="preserve">+65 9123 4567</t>
  </si>
  <si>
    <t xml:space="preserve">weiming.tan@gmail.com</t>
  </si>
  <si>
    <t xml:space="preserve">Singaporean</t>
  </si>
  <si>
    <t xml:space="preserve">30-35</t>
  </si>
  <si>
    <t xml:space="preserve">Software Engineer (Govt) / Teacher</t>
  </si>
  <si>
    <t xml:space="preserve">—</t>
  </si>
  <si>
    <t xml:space="preserve">PropertyGuru enquiry</t>
  </si>
  <si>
    <t xml:space="preserve">2026-02-14</t>
  </si>
  <si>
    <t xml:space="preserve">WhatsApp</t>
  </si>
  <si>
    <t xml:space="preserve">English, Mandarin</t>
  </si>
  <si>
    <t xml:space="preserve">First-time upgraders from BTO Punggol. Wife pregnant, due Aug 2026. Husband's parents live in Hougang and they want to stay nearby.</t>
  </si>
  <si>
    <t xml:space="preserve">CL-002</t>
  </si>
  <si>
    <t xml:space="preserve">Rajesh &amp; Priya Subramaniam</t>
  </si>
  <si>
    <t xml:space="preserve">Rajesh</t>
  </si>
  <si>
    <t xml:space="preserve">+65 8234 5678</t>
  </si>
  <si>
    <t xml:space="preserve">rajesh.subra@outlook.com</t>
  </si>
  <si>
    <t xml:space="preserve">Singapore PR (India)</t>
  </si>
  <si>
    <t xml:space="preserve">40-45</t>
  </si>
  <si>
    <t xml:space="preserve">Banking VP (DBS) / Homemaker</t>
  </si>
  <si>
    <t xml:space="preserve">8, 11</t>
  </si>
  <si>
    <t xml:space="preserve">Referral from CL-005</t>
  </si>
  <si>
    <t xml:space="preserve">2026-01-20</t>
  </si>
  <si>
    <t xml:space="preserve">Email then call</t>
  </si>
  <si>
    <t xml:space="preserve">English, Tamil</t>
  </si>
  <si>
    <t xml:space="preserve">ABSD 5% on second property. Looking to right-size as kids grow. Eldest at ACS Junior, strongly prefers staying within 1km.</t>
  </si>
  <si>
    <t xml:space="preserve">CL-003</t>
  </si>
  <si>
    <t xml:space="preserve">Sarah Chen</t>
  </si>
  <si>
    <t xml:space="preserve">Sarah</t>
  </si>
  <si>
    <t xml:space="preserve">+65 9345 6789</t>
  </si>
  <si>
    <t xml:space="preserve">sarah.chen.invest@gmail.com</t>
  </si>
  <si>
    <t xml:space="preserve">35-40</t>
  </si>
  <si>
    <t xml:space="preserve">Investment Manager</t>
  </si>
  <si>
    <t xml:space="preserve">Instagram DM (sponsored post)</t>
  </si>
  <si>
    <t xml:space="preserve">2026-03-02</t>
  </si>
  <si>
    <t xml:space="preserve">WhatsApp voice notes</t>
  </si>
  <si>
    <t xml:space="preserve">Pure rental yield play. Already owns 2-bedder in D15. Will pay 60% ABSD remission strategy via decoupling discussed with her lawyer.</t>
  </si>
  <si>
    <t xml:space="preserve">CL-004</t>
  </si>
  <si>
    <t xml:space="preserve">James &amp; Emma Whitfield</t>
  </si>
  <si>
    <t xml:space="preserve">James</t>
  </si>
  <si>
    <t xml:space="preserve">+44 7700 900123 / +65 8456 7890</t>
  </si>
  <si>
    <t xml:space="preserve">j.whitfield@expat.sg</t>
  </si>
  <si>
    <t xml:space="preserve">Expat (UK, EP holder)</t>
  </si>
  <si>
    <t xml:space="preserve">Regional Director, Tech / Architect</t>
  </si>
  <si>
    <t xml:space="preserve">5</t>
  </si>
  <si>
    <t xml:space="preserve">Walked into Newton showflat</t>
  </si>
  <si>
    <t xml:space="preserve">2026-03-15</t>
  </si>
  <si>
    <t xml:space="preserve">English</t>
  </si>
  <si>
    <t xml:space="preserve">Relocating from London June 2026. School priority: Tanglin Trust or UWC. Renting first, may buy in 12-18 months. Budget very flexible for the right unit.</t>
  </si>
  <si>
    <t xml:space="preserve">CL-005</t>
  </si>
  <si>
    <t xml:space="preserve">Auntie Margaret Goh</t>
  </si>
  <si>
    <t xml:space="preserve">Mrs Goh</t>
  </si>
  <si>
    <t xml:space="preserve">+65 9456 7891</t>
  </si>
  <si>
    <t xml:space="preserve">65-70</t>
  </si>
  <si>
    <t xml:space="preserve">Retired (ex-civil servant)</t>
  </si>
  <si>
    <t xml:space="preserve">Adult</t>
  </si>
  <si>
    <t xml:space="preserve">Walk-in (Bishan branch)</t>
  </si>
  <si>
    <t xml:space="preserve">2025-11-08</t>
  </si>
  <si>
    <t xml:space="preserve">Phone call only</t>
  </si>
  <si>
    <t xml:space="preserve">English, Mandarin, Hokkien</t>
  </si>
  <si>
    <t xml:space="preserve">Downsizing from landed in Serangoon Gardens. Husband mobility issues, NEEDS lift access and near hospital. Loyal — referred Rajesh.</t>
  </si>
  <si>
    <t xml:space="preserve">CL-006</t>
  </si>
  <si>
    <t xml:space="preserve">Daniel Koh</t>
  </si>
  <si>
    <t xml:space="preserve">Dan</t>
  </si>
  <si>
    <t xml:space="preserve">+65 9567 8912</t>
  </si>
  <si>
    <t xml:space="preserve">dan.koh.sg@gmail.com</t>
  </si>
  <si>
    <t xml:space="preserve">28-32</t>
  </si>
  <si>
    <t xml:space="preserve">Doctor (NUH resident)</t>
  </si>
  <si>
    <t xml:space="preserve">LinkedIn outreach</t>
  </si>
  <si>
    <t xml:space="preserve">2026-02-28</t>
  </si>
  <si>
    <t xml:space="preserve">First property. Pre-approved HDB loan. Time-poor due to on-call schedule — prefers weekend evening viewings only.</t>
  </si>
  <si>
    <t xml:space="preserve">CL-007</t>
  </si>
  <si>
    <t xml:space="preserve">Mr &amp; Mrs Hideki Tanaka</t>
  </si>
  <si>
    <t xml:space="preserve">Tanaka-san</t>
  </si>
  <si>
    <t xml:space="preserve">+65 8678 9123</t>
  </si>
  <si>
    <t xml:space="preserve">h.tanaka@globalcorp.co.jp</t>
  </si>
  <si>
    <t xml:space="preserve">Expat (Japanese, EP)</t>
  </si>
  <si>
    <t xml:space="preserve">45-50</t>
  </si>
  <si>
    <t xml:space="preserve">MD, Japanese MNC / Homemaker</t>
  </si>
  <si>
    <t xml:space="preserve">13, 16</t>
  </si>
  <si>
    <t xml:space="preserve">Japanese community group referral</t>
  </si>
  <si>
    <t xml:space="preserve">2026-01-10</t>
  </si>
  <si>
    <t xml:space="preserve">Email (formal)</t>
  </si>
  <si>
    <t xml:space="preserve">Japanese, English (intermediate)</t>
  </si>
  <si>
    <t xml:space="preserve">Children at Waseda Shibuya Singapore. STRONG preference for River Valley / Tanglin. Company housing budget S$18-22k/mth. May rent then buy if assigned long-term.</t>
  </si>
  <si>
    <t xml:space="preserve">CL-008</t>
  </si>
  <si>
    <t xml:space="preserve">Vincent &amp; Cheryl Ng</t>
  </si>
  <si>
    <t xml:space="preserve">Vincent</t>
  </si>
  <si>
    <t xml:space="preserve">+65 9789 1234</t>
  </si>
  <si>
    <t xml:space="preserve">vincent.ng.biz@gmail.com</t>
  </si>
  <si>
    <t xml:space="preserve">50-55</t>
  </si>
  <si>
    <t xml:space="preserve">Business Owner (F&amp;B) / COO Wife</t>
  </si>
  <si>
    <t xml:space="preserve">20, 22 (uni)</t>
  </si>
  <si>
    <t xml:space="preserve">Cold call follow-up from old database</t>
  </si>
  <si>
    <t xml:space="preserve">2025-12-05</t>
  </si>
  <si>
    <t xml:space="preserve">English, Mandarin, Cantonese</t>
  </si>
  <si>
    <t xml:space="preserve">Cash-rich after partial F&amp;B business exit. Looking for trophy GCB or freehold landed. Status-driven — wants prestige address. Wife pushing for Holland Village area.</t>
  </si>
  <si>
    <t xml:space="preserve">CL-009</t>
  </si>
  <si>
    <t xml:space="preserve">Aisha Rahman</t>
  </si>
  <si>
    <t xml:space="preserve">Aisha</t>
  </si>
  <si>
    <t xml:space="preserve">+65 8890 1235</t>
  </si>
  <si>
    <t xml:space="preserve">aisha.r.designer@gmail.com</t>
  </si>
  <si>
    <t xml:space="preserve">Singaporean (Malay)</t>
  </si>
  <si>
    <t xml:space="preserve">Senior UX Designer (Grab)</t>
  </si>
  <si>
    <t xml:space="preserve">4</t>
  </si>
  <si>
    <t xml:space="preserve">TikTok video lead</t>
  </si>
  <si>
    <t xml:space="preserve">2026-03-22</t>
  </si>
  <si>
    <t xml:space="preserve">WhatsApp + Telegram</t>
  </si>
  <si>
    <t xml:space="preserve">English, Malay</t>
  </si>
  <si>
    <t xml:space="preserve">Single mother, recently divorced. Sensitive about discussing previous home. Loan affordability tight after divorce settlement — verified HDB BTO ineligible due to property ownership history.</t>
  </si>
  <si>
    <t xml:space="preserve">CL-010</t>
  </si>
  <si>
    <t xml:space="preserve">Lim Family Trust (rep: Mr Lim Boon Keng)</t>
  </si>
  <si>
    <t xml:space="preserve">Mr Lim</t>
  </si>
  <si>
    <t xml:space="preserve">+65 9012 3456</t>
  </si>
  <si>
    <t xml:space="preserve">bk.lim@limfamilytrust.sg</t>
  </si>
  <si>
    <t xml:space="preserve">55-60</t>
  </si>
  <si>
    <t xml:space="preserve">Family Office Principal</t>
  </si>
  <si>
    <t xml:space="preserve">Private bank referral (UOB Privilege)</t>
  </si>
  <si>
    <t xml:space="preserve">2025-10-15</t>
  </si>
  <si>
    <t xml:space="preserve">Email through PA</t>
  </si>
  <si>
    <t xml:space="preserve">Multi-generational property purchases. Currently sourcing for daughter (returning from Stanford) and a Sentosa Cove unit for parents. All cash. PA Ms Tay handles scheduling.</t>
  </si>
  <si>
    <t xml:space="preserve">Buy_Or_Rent</t>
  </si>
  <si>
    <t xml:space="preserve">Budget_Min_SGD</t>
  </si>
  <si>
    <t xml:space="preserve">Budget_Max_SGD</t>
  </si>
  <si>
    <t xml:space="preserve">Property_Type</t>
  </si>
  <si>
    <t xml:space="preserve">Tenure_Preference</t>
  </si>
  <si>
    <t xml:space="preserve">Min_Bedrooms</t>
  </si>
  <si>
    <t xml:space="preserve">Min_Bathrooms</t>
  </si>
  <si>
    <t xml:space="preserve">Min_Size_Sqft</t>
  </si>
  <si>
    <t xml:space="preserve">Preferred_Districts</t>
  </si>
  <si>
    <t xml:space="preserve">Preferred_Areas</t>
  </si>
  <si>
    <t xml:space="preserve">MRT_Max_Walk_Min</t>
  </si>
  <si>
    <t xml:space="preserve">School_Within_1km</t>
  </si>
  <si>
    <t xml:space="preserve">Floor_Preference</t>
  </si>
  <si>
    <t xml:space="preserve">Facing_Preference</t>
  </si>
  <si>
    <t xml:space="preserve">Must_Haves</t>
  </si>
  <si>
    <t xml:space="preserve">Nice_To_Haves</t>
  </si>
  <si>
    <t xml:space="preserve">Deal_Breakers</t>
  </si>
  <si>
    <t xml:space="preserve">Timeline_To_Move</t>
  </si>
  <si>
    <t xml:space="preserve">Financing_Status</t>
  </si>
  <si>
    <t xml:space="preserve">Buy</t>
  </si>
  <si>
    <t xml:space="preserve">Resale HDB / EC</t>
  </si>
  <si>
    <t xml:space="preserve">99-yr leasehold</t>
  </si>
  <si>
    <t xml:space="preserve">D19, D28</t>
  </si>
  <si>
    <t xml:space="preserve">Hougang, Sengkang, Punggol</t>
  </si>
  <si>
    <t xml:space="preserve">Rosyth, Holy Innocents'</t>
  </si>
  <si>
    <t xml:space="preserve">Mid to high (above 5th)</t>
  </si>
  <si>
    <t xml:space="preserve">North-South (avoid west sun)</t>
  </si>
  <si>
    <t xml:space="preserve">Min 4-room, near MRT, lift on same floor</t>
  </si>
  <si>
    <t xml:space="preserve">Reno-done, unblocked view, near childcare</t>
  </si>
  <si>
    <t xml:space="preserve">West-facing, near rubbish chute, ground floor</t>
  </si>
  <si>
    <t xml:space="preserve">Within 6 months (before baby arrives Aug 2026)</t>
  </si>
  <si>
    <t xml:space="preserve">HDB loan pre-approved at $1.35M, OTP-ready</t>
  </si>
  <si>
    <t xml:space="preserve">Condo (freehold preferred)</t>
  </si>
  <si>
    <t xml:space="preserve">Freehold or 999-yr</t>
  </si>
  <si>
    <t xml:space="preserve">D10, D11</t>
  </si>
  <si>
    <t xml:space="preserve">Bukit Timah, Newton, Novena</t>
  </si>
  <si>
    <t xml:space="preserve">ACS (Barker), ACS Primary, MGS</t>
  </si>
  <si>
    <t xml:space="preserve">Mid-floor (5-15)</t>
  </si>
  <si>
    <t xml:space="preserve">North or East</t>
  </si>
  <si>
    <t xml:space="preserve">MUST be within 1km of ACS Primary (eldest enrolled), 2 covered carparks, balcony</t>
  </si>
  <si>
    <t xml:space="preserve">Pool, gym, near MRT, near coffee bar</t>
  </si>
  <si>
    <t xml:space="preserve">Old project (&gt;15 yrs unless fully renovated), busy main road</t>
  </si>
  <si>
    <t xml:space="preserve">9-12 months (kids' school year)</t>
  </si>
  <si>
    <t xml:space="preserve">Bank IPA $4.2M (DBS), needs to sell current condo in D11 first</t>
  </si>
  <si>
    <t xml:space="preserve">Buy (investment)</t>
  </si>
  <si>
    <t xml:space="preserve">1-2BR Condo</t>
  </si>
  <si>
    <t xml:space="preserve">Freehold (resale)</t>
  </si>
  <si>
    <t xml:space="preserve">D8, D12, D14</t>
  </si>
  <si>
    <t xml:space="preserve">Lavender, Balestier, Geylang fringe (D14)</t>
  </si>
  <si>
    <t xml:space="preserve">Any (lower floors actually fine for yield)</t>
  </si>
  <si>
    <t xml:space="preserve">Any</t>
  </si>
  <si>
    <t xml:space="preserve">Tenanted or easy to tenant, gross yield &gt;3.5%, near MRT</t>
  </si>
  <si>
    <t xml:space="preserve">MCST well-managed, near F&amp;B clusters</t>
  </si>
  <si>
    <t xml:space="preserve">Sentiment-driven 'lifestyle' projects with low yield, niche layouts</t>
  </si>
  <si>
    <t xml:space="preserve">3 months</t>
  </si>
  <si>
    <t xml:space="preserve">Cash + bank loan (50% LTV target), decoupling structure ready</t>
  </si>
  <si>
    <t xml:space="preserve">Rent first, may buy later</t>
  </si>
  <si>
    <t xml:space="preserve">Condo / Landed (rental)</t>
  </si>
  <si>
    <t xml:space="preserve">D9, D10, D11</t>
  </si>
  <si>
    <t xml:space="preserve">Orchard, Tanglin, River Valley</t>
  </si>
  <si>
    <t xml:space="preserve">Tanglin Trust, UWC Dover (van service ok)</t>
  </si>
  <si>
    <t xml:space="preserve">High floor for condo, otherwise quiet GCB area</t>
  </si>
  <si>
    <t xml:space="preserve">Pool, gym, 24-hr security, kid-friendly facilities, 2 parking</t>
  </si>
  <si>
    <t xml:space="preserve">Walk to F&amp;B, park nearby</t>
  </si>
  <si>
    <t xml:space="preserve">No pets allowed (have a Labrador), shoebox feel</t>
  </si>
  <si>
    <t xml:space="preserve">Move-in by 15 June 2026</t>
  </si>
  <si>
    <t xml:space="preserve">Company housing letter from MNC, S$2.5M-3.5M if eventually buys</t>
  </si>
  <si>
    <t xml:space="preserve">Condo (smaller, low floor or with lift)</t>
  </si>
  <si>
    <t xml:space="preserve">D20, D26</t>
  </si>
  <si>
    <t xml:space="preserve">Bishan, Upper Thomson, Ang Mo Kio</t>
  </si>
  <si>
    <t xml:space="preserve">Low to mid floor (mobility)</t>
  </si>
  <si>
    <t xml:space="preserve">Quiet, away from main road</t>
  </si>
  <si>
    <t xml:space="preserve">MUST have lift, near hospital (Mt Alvernia / TTSH access), wheelchair-friendly layout</t>
  </si>
  <si>
    <t xml:space="preserve">Park view, near hawker centre, single-level layout</t>
  </si>
  <si>
    <t xml:space="preserve">Stairs, steep ramps, far from medical facilities</t>
  </si>
  <si>
    <t xml:space="preserve">Flexible (current landed not yet listed)</t>
  </si>
  <si>
    <t xml:space="preserve">All cash from landed sale, will list landed Q2 2026</t>
  </si>
  <si>
    <t xml:space="preserve">Resale HDB or BTO leftover</t>
  </si>
  <si>
    <t xml:space="preserve">D5, D6, D8</t>
  </si>
  <si>
    <t xml:space="preserve">Queenstown, Tiong Bahru, Bukit Merah</t>
  </si>
  <si>
    <t xml:space="preserve">Near NUH or with good public transport to NUH, ready to move in (no reno wait)</t>
  </si>
  <si>
    <t xml:space="preserve">Hawker centre nearby, BBQ-friendly community</t>
  </si>
  <si>
    <t xml:space="preserve">Major renovation needed, long MOP wait, far from NUH</t>
  </si>
  <si>
    <t xml:space="preserve">4-8 months</t>
  </si>
  <si>
    <t xml:space="preserve">HDB loan pre-approved $680k, $80k cash on hand</t>
  </si>
  <si>
    <t xml:space="preserve">Rent (company-paid)</t>
  </si>
  <si>
    <t xml:space="preserve">Condo (high-end) or Black-and-White</t>
  </si>
  <si>
    <t xml:space="preserve">D9, D10</t>
  </si>
  <si>
    <t xml:space="preserve">River Valley, Tanglin</t>
  </si>
  <si>
    <t xml:space="preserve">Waseda Shibuya Singapore (cannot exceed 30 min car ride)</t>
  </si>
  <si>
    <t xml:space="preserve">High floor with view</t>
  </si>
  <si>
    <t xml:space="preserve">Multi-cooker (gas), bidet/washlet wiring, near Japanese supermarket (Meidi-Ya/Isetan), helper room</t>
  </si>
  <si>
    <t xml:space="preserve">Onsen-style bath, tatami room (rare), Japanese restaurant nearby</t>
  </si>
  <si>
    <t xml:space="preserve">Pet smell from previous tenant, mould issues</t>
  </si>
  <si>
    <t xml:space="preserve">Move-in by Apr 2026 (contract starts)</t>
  </si>
  <si>
    <t xml:space="preserve">Corporate lease, MNC will sign and pay; 2-yr lease standard</t>
  </si>
  <si>
    <t xml:space="preserve">GCB / Freehold landed</t>
  </si>
  <si>
    <t xml:space="preserve">Freehold strongly preferred</t>
  </si>
  <si>
    <t xml:space="preserve">D10, D11, D21</t>
  </si>
  <si>
    <t xml:space="preserve">Holland Park, Cluny, Bukit Timah</t>
  </si>
  <si>
    <t xml:space="preserve">Pool, gated, min 2 driveways, modern build or fully renovated</t>
  </si>
  <si>
    <t xml:space="preserve">Designer name (e.g. Mok Wei Wei, ipli), wine cellar, lift</t>
  </si>
  <si>
    <t xml:space="preserve">Tear-down required (wife doesn't want construction), conservation restrictions</t>
  </si>
  <si>
    <t xml:space="preserve">12-18 months (will wait for right one)</t>
  </si>
  <si>
    <t xml:space="preserve">All cash. Confirmed liquidity letter from UOB Private.</t>
  </si>
  <si>
    <t xml:space="preserve">Resale HDB (3-4 room)</t>
  </si>
  <si>
    <t xml:space="preserve">99-yr</t>
  </si>
  <si>
    <t xml:space="preserve">D14, D15, D16</t>
  </si>
  <si>
    <t xml:space="preserve">Geylang Bahru, Bedok, Kembangan</t>
  </si>
  <si>
    <t xml:space="preserve">Mid floor</t>
  </si>
  <si>
    <t xml:space="preserve">Walking distance to MRT, near childcare, ready to move in</t>
  </si>
  <si>
    <t xml:space="preserve">Near Malay food, mosque nearby, quiet street</t>
  </si>
  <si>
    <t xml:space="preserve">No lift on level, ground floor, near coffeeshop with late-night noise</t>
  </si>
  <si>
    <t xml:space="preserve">ASAP — current rental ends Sep 2026</t>
  </si>
  <si>
    <t xml:space="preserve">Single-income loan, HDB loan IPA pending. May need parental top-up.</t>
  </si>
  <si>
    <t xml:space="preserve">Buy (multiple)</t>
  </si>
  <si>
    <t xml:space="preserve">Mix: D9 condo + Sentosa Cove villa</t>
  </si>
  <si>
    <t xml:space="preserve">Freehold for D9 / 99-yr ok for Sentosa Cove</t>
  </si>
  <si>
    <t xml:space="preserve">D9, D4 (Sentosa)</t>
  </si>
  <si>
    <t xml:space="preserve">Orchard/Cairnhill, Sentosa Cove</t>
  </si>
  <si>
    <t xml:space="preserve">High floor for D9, marina-view for Sentosa</t>
  </si>
  <si>
    <t xml:space="preserve">D9: Branded residence preferred. Sentosa: Berth or marina view, private pool</t>
  </si>
  <si>
    <t xml:space="preserve">Smart home, separate live-in helper quarters</t>
  </si>
  <si>
    <t xml:space="preserve">Resale Sentosa with title issues, leasehold expiring &lt;60 yrs</t>
  </si>
  <si>
    <t xml:space="preserve">6 months for D9 (daughter returning), Sentosa flexible</t>
  </si>
  <si>
    <t xml:space="preserve">All cash via family trust</t>
  </si>
  <si>
    <t xml:space="preserve">Listing_ID</t>
  </si>
  <si>
    <t xml:space="preserve">Project_Name</t>
  </si>
  <si>
    <t xml:space="preserve">Address</t>
  </si>
  <si>
    <t xml:space="preserve">District</t>
  </si>
  <si>
    <t xml:space="preserve">Tenure</t>
  </si>
  <si>
    <t xml:space="preserve">Asking_Price_SGD</t>
  </si>
  <si>
    <t xml:space="preserve">Size_Sqft</t>
  </si>
  <si>
    <t xml:space="preserve">PSF</t>
  </si>
  <si>
    <t xml:space="preserve">Bedrooms</t>
  </si>
  <si>
    <t xml:space="preserve">Bathrooms</t>
  </si>
  <si>
    <t xml:space="preserve">Year_Built</t>
  </si>
  <si>
    <t xml:space="preserve">Listing_Source</t>
  </si>
  <si>
    <t xml:space="preserve">Status</t>
  </si>
  <si>
    <t xml:space="preserve">Pros</t>
  </si>
  <si>
    <t xml:space="preserve">Cons</t>
  </si>
  <si>
    <t xml:space="preserve">Date_Added</t>
  </si>
  <si>
    <t xml:space="preserve">LS-0001</t>
  </si>
  <si>
    <t xml:space="preserve">Riverparc Residence (EC)</t>
  </si>
  <si>
    <t xml:space="preserve">30 Punggol Drive</t>
  </si>
  <si>
    <t xml:space="preserve">D19</t>
  </si>
  <si>
    <t xml:space="preserve">EC (resale, post-MOP)</t>
  </si>
  <si>
    <t xml:space="preserve">99-yr from 2011</t>
  </si>
  <si>
    <t xml:space="preserve">PropertyGuru</t>
  </si>
  <si>
    <t xml:space="preserve">Shortlisted</t>
  </si>
  <si>
    <t xml:space="preserve">Near Punggol MRT (8min walk), unblocked pool view, family-friendly facilities, husband's parents 10min drive</t>
  </si>
  <si>
    <t xml:space="preserve">PSF on higher end, kitchen layout small for Hui Fen's cooking style</t>
  </si>
  <si>
    <t xml:space="preserve">2026-03-01</t>
  </si>
  <si>
    <t xml:space="preserve">LS-0002</t>
  </si>
  <si>
    <t xml:space="preserve">Treasure Crest (EC)</t>
  </si>
  <si>
    <t xml:space="preserve">Anchorvale Crescent</t>
  </si>
  <si>
    <t xml:space="preserve">EC (resale)</t>
  </si>
  <si>
    <t xml:space="preserve">99-yr from 2017</t>
  </si>
  <si>
    <t xml:space="preserve">EdgeProp</t>
  </si>
  <si>
    <t xml:space="preserve">Viewed - rejected</t>
  </si>
  <si>
    <t xml:space="preserve">Newer build, well-kept, close to Sengkang Sports Centre</t>
  </si>
  <si>
    <t xml:space="preserve">Faces west-southwest (huge dealbreaker for Wei Ming), far from MRT (~15min)</t>
  </si>
  <si>
    <t xml:space="preserve">2026-03-08</t>
  </si>
  <si>
    <t xml:space="preserve">LS-0003</t>
  </si>
  <si>
    <t xml:space="preserve">Sixth Avenue Centre</t>
  </si>
  <si>
    <t xml:space="preserve">Sixth Avenue</t>
  </si>
  <si>
    <t xml:space="preserve">D10</t>
  </si>
  <si>
    <t xml:space="preserve">Condo</t>
  </si>
  <si>
    <t xml:space="preserve">Freehold</t>
  </si>
  <si>
    <t xml:space="preserve">Direct from owner (cobroker)</t>
  </si>
  <si>
    <t xml:space="preserve">Pending offer</t>
  </si>
  <si>
    <t xml:space="preserve">EXACTLY 750m from ACS Primary, freehold, 2 carparks, well-managed MCST</t>
  </si>
  <si>
    <t xml:space="preserve">Reno needed (~$150k budget), kitchen layout dated</t>
  </si>
  <si>
    <t xml:space="preserve">LS-0004</t>
  </si>
  <si>
    <t xml:space="preserve">The Tessarina</t>
  </si>
  <si>
    <t xml:space="preserve">Wilby Road</t>
  </si>
  <si>
    <t xml:space="preserve">Cobroker (ERA)</t>
  </si>
  <si>
    <t xml:space="preserve">Shortlisted - 2nd viewing scheduled</t>
  </si>
  <si>
    <t xml:space="preserve">Within 1km ACS Primary, large layout, full condo facilities, freehold</t>
  </si>
  <si>
    <t xml:space="preserve">Older project (~24 yrs), some units have lift lobby smell, lower floor</t>
  </si>
  <si>
    <t xml:space="preserve">2026-03-12</t>
  </si>
  <si>
    <t xml:space="preserve">LS-0005</t>
  </si>
  <si>
    <t xml:space="preserve">Tre Ver</t>
  </si>
  <si>
    <t xml:space="preserve">Potong Pasir Avenue 1</t>
  </si>
  <si>
    <t xml:space="preserve">D13</t>
  </si>
  <si>
    <t xml:space="preserve">PropertyGuru (direct owner)</t>
  </si>
  <si>
    <t xml:space="preserve">Tenanted - viewing arranged</t>
  </si>
  <si>
    <t xml:space="preserve">Currently tenanted at $3.8k/mth (gross yield ~3.86%), near Potong Pasir MRT, well-kept</t>
  </si>
  <si>
    <t xml:space="preserve">District technically D13 not target D14, leasehold limits long-term play</t>
  </si>
  <si>
    <t xml:space="preserve">2026-03-10</t>
  </si>
  <si>
    <t xml:space="preserve">LS-0006</t>
  </si>
  <si>
    <t xml:space="preserve">City Suites</t>
  </si>
  <si>
    <t xml:space="preserve">Balestier Road</t>
  </si>
  <si>
    <t xml:space="preserve">D12</t>
  </si>
  <si>
    <t xml:space="preserve">Apartment</t>
  </si>
  <si>
    <t xml:space="preserve">Freehold, easy to rent (transient F&amp;B/medical tenants), strong rental demand</t>
  </si>
  <si>
    <t xml:space="preserve">Older surrounding area, smaller bedroom</t>
  </si>
  <si>
    <t xml:space="preserve">2026-03-14</t>
  </si>
  <si>
    <t xml:space="preserve">LS-0007</t>
  </si>
  <si>
    <t xml:space="preserve">Sky@Eleven</t>
  </si>
  <si>
    <t xml:space="preserve">Thomson Road</t>
  </si>
  <si>
    <t xml:space="preserve">D11</t>
  </si>
  <si>
    <t xml:space="preserve">Cobroker</t>
  </si>
  <si>
    <t xml:space="preserve">Viewed - liked</t>
  </si>
  <si>
    <t xml:space="preserve">Lift directly to unit, walking distance to Novena MRT and TTSH, quiet location</t>
  </si>
  <si>
    <t xml:space="preserve">Slightly higher PSF than budget, slight slope from MRT (mobility concern)</t>
  </si>
  <si>
    <t xml:space="preserve">2026-03-18</t>
  </si>
  <si>
    <t xml:space="preserve">LS-0008</t>
  </si>
  <si>
    <t xml:space="preserve">Stirling Residences</t>
  </si>
  <si>
    <t xml:space="preserve">Stirling Road</t>
  </si>
  <si>
    <t xml:space="preserve">D3</t>
  </si>
  <si>
    <t xml:space="preserve">Out of budget — withdrew</t>
  </si>
  <si>
    <t xml:space="preserve">Near Queenstown MRT, very new, good facilities, 2BR</t>
  </si>
  <si>
    <t xml:space="preserve">Far above budget ($550-750k), Daniel not ready for condo step yet</t>
  </si>
  <si>
    <t xml:space="preserve">2026-03-05</t>
  </si>
  <si>
    <t xml:space="preserve">LS-0009</t>
  </si>
  <si>
    <t xml:space="preserve">Blk 88 Dawson Road</t>
  </si>
  <si>
    <t xml:space="preserve">88 Dawson Road</t>
  </si>
  <si>
    <t xml:space="preserve">Resale HDB (4-room)</t>
  </si>
  <si>
    <t xml:space="preserve">99-yr from 2015</t>
  </si>
  <si>
    <t xml:space="preserve">HDB resale portal</t>
  </si>
  <si>
    <t xml:space="preserve">Offer made</t>
  </si>
  <si>
    <t xml:space="preserve">Near NUH (10min drive), good size, 5min walk to MRT, lift on every floor</t>
  </si>
  <si>
    <t xml:space="preserve">COV of ~$25k required, slight wait for completion (~3 months)</t>
  </si>
  <si>
    <t xml:space="preserve">2026-03-20</t>
  </si>
  <si>
    <t xml:space="preserve">LS-0010</t>
  </si>
  <si>
    <t xml:space="preserve">Cluny Park GCB</t>
  </si>
  <si>
    <t xml:space="preserve">Cluny Park Road</t>
  </si>
  <si>
    <t xml:space="preserve">GCB (landed)</t>
  </si>
  <si>
    <t xml:space="preserve">Off-market (private)</t>
  </si>
  <si>
    <t xml:space="preserve">Viewing — wife unsure</t>
  </si>
  <si>
    <t xml:space="preserve">True GCB area, large plot (15,000 sqft+), gated street, prestige</t>
  </si>
  <si>
    <t xml:space="preserve">Needs full A&amp;A (~$3M), 90s build wife dislikes, asking aggressive</t>
  </si>
  <si>
    <t xml:space="preserve">2026-02-20</t>
  </si>
  <si>
    <t xml:space="preserve">LS-0011</t>
  </si>
  <si>
    <t xml:space="preserve">Holland Park GCB</t>
  </si>
  <si>
    <t xml:space="preserve">Holland Park</t>
  </si>
  <si>
    <t xml:space="preserve">Off-market via UOB Private</t>
  </si>
  <si>
    <t xml:space="preserve">Top pick currently</t>
  </si>
  <si>
    <t xml:space="preserve">Modern build, designer (Aamer Architects), pool, lift, ready to move</t>
  </si>
  <si>
    <t xml:space="preserve">Smaller plot than Cluny option, no immediate park view</t>
  </si>
  <si>
    <t xml:space="preserve">LS-0012</t>
  </si>
  <si>
    <t xml:space="preserve">Blk 47 Bedok South Avenue 2</t>
  </si>
  <si>
    <t xml:space="preserve">Bedok South</t>
  </si>
  <si>
    <t xml:space="preserve">D16</t>
  </si>
  <si>
    <t xml:space="preserve">Resale HDB (3-room)</t>
  </si>
  <si>
    <t xml:space="preserve">99-yr from 1980</t>
  </si>
  <si>
    <t xml:space="preserve">Shortlisted (lease concern flagged)</t>
  </si>
  <si>
    <t xml:space="preserve">Within budget, near Bedok MRT, walkable to mosque, near her mother</t>
  </si>
  <si>
    <t xml:space="preserve">Lease remaining ~53 yrs — CPF usage and loan tenure restricted, may not be viable</t>
  </si>
  <si>
    <t xml:space="preserve">2026-03-23</t>
  </si>
  <si>
    <t xml:space="preserve">LS-0013</t>
  </si>
  <si>
    <t xml:space="preserve">Blk 109 Bedok Reservoir Road</t>
  </si>
  <si>
    <t xml:space="preserve">Bedok Reservoir</t>
  </si>
  <si>
    <t xml:space="preserve">99-yr from 2000</t>
  </si>
  <si>
    <t xml:space="preserve">Lease healthy (~73 yrs), near Bedok Reservoir MRT, lift on floor, near childcare</t>
  </si>
  <si>
    <t xml:space="preserve">Slight stretch on single-income loan</t>
  </si>
  <si>
    <t xml:space="preserve">2026-03-25</t>
  </si>
  <si>
    <t xml:space="preserve">LS-0014</t>
  </si>
  <si>
    <t xml:space="preserve">The Marq on Paterson Hill</t>
  </si>
  <si>
    <t xml:space="preserve">Paterson Hill</t>
  </si>
  <si>
    <t xml:space="preserve">D9</t>
  </si>
  <si>
    <t xml:space="preserve">Condo (super luxury)</t>
  </si>
  <si>
    <t xml:space="preserve">Private bank referral</t>
  </si>
  <si>
    <t xml:space="preserve">Viewing arranged</t>
  </si>
  <si>
    <t xml:space="preserve">Trophy unit, private pool on balcony, branded residence prestige</t>
  </si>
  <si>
    <t xml:space="preserve">Aging slightly (15 yrs), PSF very high</t>
  </si>
  <si>
    <t xml:space="preserve">Viewing_ID</t>
  </si>
  <si>
    <t xml:space="preserve">Date</t>
  </si>
  <si>
    <t xml:space="preserve">Type</t>
  </si>
  <si>
    <t xml:space="preserve">Attended_By</t>
  </si>
  <si>
    <t xml:space="preserve">Duration_Min</t>
  </si>
  <si>
    <t xml:space="preserve">Client_Reaction</t>
  </si>
  <si>
    <t xml:space="preserve">My_Observations</t>
  </si>
  <si>
    <t xml:space="preserve">Next_Step_Discussed</t>
  </si>
  <si>
    <t xml:space="preserve">VW-0001</t>
  </si>
  <si>
    <t xml:space="preserve">2026-02-22</t>
  </si>
  <si>
    <t xml:space="preserve">Property viewing</t>
  </si>
  <si>
    <t xml:space="preserve">Both spouses + me</t>
  </si>
  <si>
    <t xml:space="preserve">Wei Ming positive, Hui Fen lukewarm on kitchen</t>
  </si>
  <si>
    <t xml:space="preserve">Hui Fen kept measuring the kitchen with hand spans — she cooks daily, kitchen size matters more than I assumed</t>
  </si>
  <si>
    <t xml:space="preserve">Send 2 more options with larger kitchens; revisit if no better appears</t>
  </si>
  <si>
    <t xml:space="preserve">VW-0002</t>
  </si>
  <si>
    <t xml:space="preserve">Wei Ming only (Hui Fen unwell)</t>
  </si>
  <si>
    <t xml:space="preserve">Rejected immediately — west sun on entry</t>
  </si>
  <si>
    <t xml:space="preserve">Wei Ming visibly upset by afternoon sun even in shaded living room. Strong rejection.</t>
  </si>
  <si>
    <t xml:space="preserve">Filter out all west-facing units going forward</t>
  </si>
  <si>
    <t xml:space="preserve">VW-0003</t>
  </si>
  <si>
    <t xml:space="preserve">2026-02-26</t>
  </si>
  <si>
    <t xml:space="preserve">Rajesh + Priya + eldest son</t>
  </si>
  <si>
    <t xml:space="preserve">Very positive, son liked the room</t>
  </si>
  <si>
    <t xml:space="preserve">Rajesh did the talking but Priya quietly checked kitchen feng shui (mentioned later by Rajesh)</t>
  </si>
  <si>
    <t xml:space="preserve">Get feng shui master's input before they decide; 2nd viewing tentative</t>
  </si>
  <si>
    <t xml:space="preserve">VW-0004</t>
  </si>
  <si>
    <t xml:space="preserve">Priya only</t>
  </si>
  <si>
    <t xml:space="preserve">Cautious — comparing to LS-0003</t>
  </si>
  <si>
    <t xml:space="preserve">Priya mentioned mother-in-law moving in next year. Need to factor 5th occupant.</t>
  </si>
  <si>
    <t xml:space="preserve">Schedule 2nd viewing with Rajesh; ask about MIL room needs</t>
  </si>
  <si>
    <t xml:space="preserve">VW-0005</t>
  </si>
  <si>
    <t xml:space="preserve">Discovery meeting (no property)</t>
  </si>
  <si>
    <t xml:space="preserve">Both spouses + me at Newton showflat coffee</t>
  </si>
  <si>
    <t xml:space="preserve">Engaged, lots of questions on schools</t>
  </si>
  <si>
    <t xml:space="preserve">Emma very detail-oriented (architect's eye). They want to walk through 4-5 options before committing to rental.</t>
  </si>
  <si>
    <t xml:space="preserve">Send Tanglin/UWC catchment map + 6 rental candidates by next Mon</t>
  </si>
  <si>
    <t xml:space="preserve">VW-0006</t>
  </si>
  <si>
    <t xml:space="preserve">2026-03-19</t>
  </si>
  <si>
    <t xml:space="preserve">Mrs Goh + adult daughter</t>
  </si>
  <si>
    <t xml:space="preserve">Positive — daughter especially</t>
  </si>
  <si>
    <t xml:space="preserve">Mrs Goh asked detailed questions about lift maintenance and management. Wants to meet MCST chairman if possible.</t>
  </si>
  <si>
    <t xml:space="preserve">Arrange MCST chair meeting; send hospital proximity map</t>
  </si>
  <si>
    <t xml:space="preserve">VW-0007</t>
  </si>
  <si>
    <t xml:space="preserve">Daniel only (after late shift, 9pm)</t>
  </si>
  <si>
    <t xml:space="preserve">Quick decisive yes</t>
  </si>
  <si>
    <t xml:space="preserve">Daniel exhausted but clear-minded. Said 'this is fine, let's offer.' Need to make sure he's not just being expedient.</t>
  </si>
  <si>
    <t xml:space="preserve">Cool-off call next day to confirm intent; submit offer if confirmed</t>
  </si>
  <si>
    <t xml:space="preserve">VW-0008</t>
  </si>
  <si>
    <t xml:space="preserve">2026-03-09</t>
  </si>
  <si>
    <t xml:space="preserve">Vincent + Cheryl + interior designer</t>
  </si>
  <si>
    <t xml:space="preserve">Vincent loves it; Cheryl visibly unhappy with 90s build</t>
  </si>
  <si>
    <t xml:space="preserve">Disagreement surfaced during viewing. Designer estimated $3M reno. Tension between them.</t>
  </si>
  <si>
    <t xml:space="preserve">Mediate via separate calls; pivot to LS-0011 (modern build)</t>
  </si>
  <si>
    <t xml:space="preserve">VW-0009</t>
  </si>
  <si>
    <t xml:space="preserve">2026-03-17</t>
  </si>
  <si>
    <t xml:space="preserve">Vincent + Cheryl</t>
  </si>
  <si>
    <t xml:space="preserve">Cheryl much happier; Vincent quietly assessing</t>
  </si>
  <si>
    <t xml:space="preserve">Cheryl asked about helper quarters and pool maintenance. Vincent quiet — usually a sign he's seriously considering.</t>
  </si>
  <si>
    <t xml:space="preserve">Follow up in 3 days; offer valuation from UOB</t>
  </si>
  <si>
    <t xml:space="preserve">VW-0010</t>
  </si>
  <si>
    <t xml:space="preserve">2026-03-24</t>
  </si>
  <si>
    <t xml:space="preserve">Aisha + her mother</t>
  </si>
  <si>
    <t xml:space="preserve">Aisha relieved, mother approving</t>
  </si>
  <si>
    <t xml:space="preserve">Mother seemed to be the silent decision-maker (financial top-up likely). Aisha looked at ease.</t>
  </si>
  <si>
    <t xml:space="preserve">Run loan numbers including mother's potential top-up; OTP discussion next week</t>
  </si>
  <si>
    <t xml:space="preserve">Task_ID</t>
  </si>
  <si>
    <t xml:space="preserve">Created_Date</t>
  </si>
  <si>
    <t xml:space="preserve">Due_Date</t>
  </si>
  <si>
    <t xml:space="preserve">Priority</t>
  </si>
  <si>
    <t xml:space="preserve">Task_Description</t>
  </si>
  <si>
    <t xml:space="preserve">Channel</t>
  </si>
  <si>
    <t xml:space="preserve">FU-001</t>
  </si>
  <si>
    <t xml:space="preserve">2026-04-05</t>
  </si>
  <si>
    <t xml:space="preserve">High</t>
  </si>
  <si>
    <t xml:space="preserve">Send 3 east/north-facing 4BR resale options with large kitchens in Hougang/Sengkang</t>
  </si>
  <si>
    <t xml:space="preserve">Open</t>
  </si>
  <si>
    <t xml:space="preserve">FU-002</t>
  </si>
  <si>
    <t xml:space="preserve">2026-04-12</t>
  </si>
  <si>
    <t xml:space="preserve">Medium</t>
  </si>
  <si>
    <t xml:space="preserve">Check in on Hui Fen's pregnancy progress; adjust timeline if early delivery risk</t>
  </si>
  <si>
    <t xml:space="preserve">FU-003</t>
  </si>
  <si>
    <t xml:space="preserve">2026-03-28</t>
  </si>
  <si>
    <t xml:space="preserve">Coordinate 2nd viewing of LS-0004 with both spouses; ask about MIL room</t>
  </si>
  <si>
    <t xml:space="preserve">Done (2026-03-26)</t>
  </si>
  <si>
    <t xml:space="preserve">Email + call</t>
  </si>
  <si>
    <t xml:space="preserve">FU-004</t>
  </si>
  <si>
    <t xml:space="preserve">2026-03-26</t>
  </si>
  <si>
    <t xml:space="preserve">2026-04-02</t>
  </si>
  <si>
    <t xml:space="preserve">Submit indicative offer on LS-0003 if Rajesh confirms; coordinate with seller's agent</t>
  </si>
  <si>
    <t xml:space="preserve">Call</t>
  </si>
  <si>
    <t xml:space="preserve">FU-005</t>
  </si>
  <si>
    <t xml:space="preserve">2026-04-01</t>
  </si>
  <si>
    <t xml:space="preserve">Provide 5-yr rental history for LS-0005 and LS-0006; compute net yield after MCST fees</t>
  </si>
  <si>
    <t xml:space="preserve">FU-006</t>
  </si>
  <si>
    <t xml:space="preserve">2026-03-30</t>
  </si>
  <si>
    <t xml:space="preserve">Send Tanglin/UWC catchment map + 6 rental shortlist (4BR, $14-18k range)</t>
  </si>
  <si>
    <t xml:space="preserve">FU-007</t>
  </si>
  <si>
    <t xml:space="preserve">2026-04-15</t>
  </si>
  <si>
    <t xml:space="preserve">Low</t>
  </si>
  <si>
    <t xml:space="preserve">Re-engage Q3 2026 about purchase intent once they've settled in rental</t>
  </si>
  <si>
    <t xml:space="preserve">FU-008</t>
  </si>
  <si>
    <t xml:space="preserve">Arrange MCST chairman meeting for LS-0007; send hospital proximity infographic</t>
  </si>
  <si>
    <t xml:space="preserve">Phone call</t>
  </si>
  <si>
    <t xml:space="preserve">FU-009</t>
  </si>
  <si>
    <t xml:space="preserve">2026-03-27</t>
  </si>
  <si>
    <t xml:space="preserve">Cool-off call to confirm intent; if yes, draft OTP for LS-0009</t>
  </si>
  <si>
    <t xml:space="preserve">Done (2026-03-23) — offer submitted</t>
  </si>
  <si>
    <t xml:space="preserve">FU-010</t>
  </si>
  <si>
    <t xml:space="preserve">2026-04-10</t>
  </si>
  <si>
    <t xml:space="preserve">Track HDB resale approval timeline; weekly updates to Daniel</t>
  </si>
  <si>
    <t xml:space="preserve">FU-011</t>
  </si>
  <si>
    <t xml:space="preserve">Confirm corporate lease terms with Tanaka-san's HR; finalize Japanese supermarket proximity report (Meidi-Ya Liang Court, Isetan Scotts)</t>
  </si>
  <si>
    <t xml:space="preserve">FU-012</t>
  </si>
  <si>
    <t xml:space="preserve">2026-03-21</t>
  </si>
  <si>
    <t xml:space="preserve">2026-04-03</t>
  </si>
  <si>
    <t xml:space="preserve">Get UOB Private valuation on LS-0011; mediate Vincent/Cheryl reno debate via 1:1 calls</t>
  </si>
  <si>
    <t xml:space="preserve">FU-013</t>
  </si>
  <si>
    <t xml:space="preserve">Source 2-3 additional modern-build GCBs in D10/D11 as backup</t>
  </si>
  <si>
    <t xml:space="preserve">FU-014</t>
  </si>
  <si>
    <t xml:space="preserve">Compute loan affordability with mother's $80k top-up; verify HDB grant eligibility for divorced parent</t>
  </si>
  <si>
    <t xml:space="preserve">FU-015</t>
  </si>
  <si>
    <t xml:space="preserve">2026-04-08</t>
  </si>
  <si>
    <t xml:space="preserve">Submit OTP for LS-0013 once financing confirmed</t>
  </si>
  <si>
    <t xml:space="preserve">FU-016</t>
  </si>
  <si>
    <t xml:space="preserve">Source 2 more D9 branded residence options for daughter; coordinate with Ms Tay on viewing dates</t>
  </si>
  <si>
    <t xml:space="preserve">Email via PA</t>
  </si>
  <si>
    <t xml:space="preserve">FU-017</t>
  </si>
  <si>
    <t xml:space="preserve">2026-05-01</t>
  </si>
  <si>
    <t xml:space="preserve">Sentosa Cove: surface 3 marina-view options; flag any lease-remaining issues</t>
  </si>
  <si>
    <t xml:space="preserve">Current_Stage</t>
  </si>
  <si>
    <t xml:space="preserve">Probability_To_Close_Pct</t>
  </si>
  <si>
    <t xml:space="preserve">Expected_Transaction_Value_SGD</t>
  </si>
  <si>
    <t xml:space="preserve">Estimated_Commission_SGD</t>
  </si>
  <si>
    <t xml:space="preserve">Co_Broke_Status</t>
  </si>
  <si>
    <t xml:space="preserve">Expected_Close_Month</t>
  </si>
  <si>
    <t xml:space="preserve">Last_Substantive_Contact</t>
  </si>
  <si>
    <t xml:space="preserve">Next_Action</t>
  </si>
  <si>
    <t xml:space="preserve">Risk_Flags</t>
  </si>
  <si>
    <t xml:space="preserve">Active search — 2 viewings done</t>
  </si>
  <si>
    <t xml:space="preserve">None yet</t>
  </si>
  <si>
    <t xml:space="preserve">Aug 2026</t>
  </si>
  <si>
    <t xml:space="preserve">Send filtered new shortlist (east/north-facing, large kitchen)</t>
  </si>
  <si>
    <t xml:space="preserve">Pregnancy timeline pressure may force compromise</t>
  </si>
  <si>
    <t xml:space="preserve">Hot — offer imminent on LS-0003 or LS-0004</t>
  </si>
  <si>
    <t xml:space="preserve">Co-broke 50/50 with ERA (LS-0004)</t>
  </si>
  <si>
    <t xml:space="preserve">Apr 2026</t>
  </si>
  <si>
    <t xml:space="preserve">Confirm offer choice with Rajesh by 2 Apr</t>
  </si>
  <si>
    <t xml:space="preserve">MIL move-in adds requirement late; needs sell current condo (chain risk)</t>
  </si>
  <si>
    <t xml:space="preserve">Investor — comparing yield numbers</t>
  </si>
  <si>
    <t xml:space="preserve">None (direct owner deals)</t>
  </si>
  <si>
    <t xml:space="preserve">May 2026</t>
  </si>
  <si>
    <t xml:space="preserve">Deliver yield-net comparison sheet</t>
  </si>
  <si>
    <t xml:space="preserve">May walk if better D14 freehold appears</t>
  </si>
  <si>
    <t xml:space="preserve">Rental first — long play to purchase</t>
  </si>
  <si>
    <t xml:space="preserve">Possible co-broke on rental</t>
  </si>
  <si>
    <t xml:space="preserve">Q4 2026 / Q1 2027</t>
  </si>
  <si>
    <t xml:space="preserve">Lock in rental by mid-April; nurture for purchase</t>
  </si>
  <si>
    <t xml:space="preserve">Expat — may relocate again if posting changes</t>
  </si>
  <si>
    <t xml:space="preserve">Warm — 1 strong candidate, sale of landed pending</t>
  </si>
  <si>
    <t xml:space="preserve">Cobroke on LS-0007 (50/50)</t>
  </si>
  <si>
    <t xml:space="preserve">Q3 2026</t>
  </si>
  <si>
    <t xml:space="preserve">MCST chair meeting; help list her landed</t>
  </si>
  <si>
    <t xml:space="preserve">Husband's mobility may worsen — could force any-unit decision; landed not yet listed</t>
  </si>
  <si>
    <t xml:space="preserve">Offer submitted on LS-0009</t>
  </si>
  <si>
    <t xml:space="preserve">Direct HDB resale (no co-broke)</t>
  </si>
  <si>
    <t xml:space="preserve">Track HDB approval, weekly updates</t>
  </si>
  <si>
    <t xml:space="preserve">Solo decision-maker on tight schedule — minimal risk now</t>
  </si>
  <si>
    <t xml:space="preserve">Discovery + rental shortlist phase</t>
  </si>
  <si>
    <t xml:space="preserve">Rental (~18k/mth ≈ 216k/yr)</t>
  </si>
  <si>
    <t xml:space="preserve">Co-broke likely (Japanese-speaking agent network)</t>
  </si>
  <si>
    <t xml:space="preserve">Confirm corporate terms; send 3 final shortlist by 1 Apr</t>
  </si>
  <si>
    <t xml:space="preserve">Language barrier on contracts — need bilingual lawyer ready</t>
  </si>
  <si>
    <t xml:space="preserve">Big-ticket — wife reluctance, 1 top pick</t>
  </si>
  <si>
    <t xml:space="preserve">Off-market (private intro fee structure TBD)</t>
  </si>
  <si>
    <t xml:space="preserve">Mediate Vincent/Cheryl; source 2 backup GCBs</t>
  </si>
  <si>
    <t xml:space="preserve">Spouse misalignment is the #1 risk; alternate options may attract Cheryl elsewhere</t>
  </si>
  <si>
    <t xml:space="preserve">Hot — 1 top pick, financing in flight</t>
  </si>
  <si>
    <t xml:space="preserve">None</t>
  </si>
  <si>
    <t xml:space="preserve">Loan affordability incl. mother's top-up; OTP next</t>
  </si>
  <si>
    <t xml:space="preserve">Tight loan ratio; emotional vulnerability — handle with care</t>
  </si>
  <si>
    <t xml:space="preserve">Multi-deal trust client — D9 + Sentosa pipeline</t>
  </si>
  <si>
    <t xml:space="preserve">D9 ~10M + Sentosa ~6M</t>
  </si>
  <si>
    <t xml:space="preserve">Mixed — some off-market, some MLS</t>
  </si>
  <si>
    <t xml:space="preserve">Q3-Q4 2026</t>
  </si>
  <si>
    <t xml:space="preserve">Surface 2 more D9 options for daughter; Sentosa shortlist by May</t>
  </si>
  <si>
    <t xml:space="preserve">All cash, low risk. Manage relationship via PA Ms Tay carefully.</t>
  </si>
  <si>
    <t xml:space="preserve">Note_ID</t>
  </si>
  <si>
    <t xml:space="preserve">Note_Type</t>
  </si>
  <si>
    <t xml:space="preserve">Note</t>
  </si>
  <si>
    <t xml:space="preserve">NT-001</t>
  </si>
  <si>
    <t xml:space="preserve">Initial profile</t>
  </si>
  <si>
    <t xml:space="preserve">Wei Ming reached out via PG. Met at Punggol Waterway Point Starbucks. Couple is methodical and budget-conscious. Hui Fen does most of the cooking — kitchen size is a deal factor I almost missed. They've outgrown their BTO and want to be near Wei Ming's parents in Hougang for childcare help. Father-in-law walks with a slight limp; lift on the same floor came up twice.</t>
  </si>
  <si>
    <t xml:space="preserve">NT-002</t>
  </si>
  <si>
    <t xml:space="preserve">Insight</t>
  </si>
  <si>
    <t xml:space="preserve">Big learning: Wei Ming has a STRONG aversion to west-facing units (afternoon sun). This wasn't in the initial brief but caused immediate rejection of LS-0002. Add to permanent filter for him.</t>
  </si>
  <si>
    <t xml:space="preserve">NT-003</t>
  </si>
  <si>
    <t xml:space="preserve">Family context update</t>
  </si>
  <si>
    <t xml:space="preserve">Rajesh casually mentioned during call that his mother (currently in Chennai) is likely moving in by end-2026 due to health. Adds requirement: 5th occupant, ground-floor accessible bathroom preferred. Update brief; revisit shortlist with this lens.</t>
  </si>
  <si>
    <t xml:space="preserve">NT-004</t>
  </si>
  <si>
    <t xml:space="preserve">Decision-making dynamic</t>
  </si>
  <si>
    <t xml:space="preserve">Priya is the quiet decision-maker. She checks feng shui (kitchen stove orientation, main door alignment) even though Rajesh does the verbal communication. For closing, get her buy-in privately. Asking her for opinions in front of Rajesh produces deferential answers; one-on-one she's specific.</t>
  </si>
  <si>
    <t xml:space="preserve">NT-005</t>
  </si>
  <si>
    <t xml:space="preserve">Investor profile</t>
  </si>
  <si>
    <t xml:space="preserve">Sarah is a pro investor — knows yield math better than most agents. Don't waste her time with lifestyle sells; lead with cap rate, vacancy assumptions, MCST trend, en-bloc potential. She decoupled her D15 unit last year with her lawyer Mr Goh — she's tax-structure savvy. Communication style: short voice notes, no fluff.</t>
  </si>
  <si>
    <t xml:space="preserve">NT-006</t>
  </si>
  <si>
    <t xml:space="preserve">Initial impressions</t>
  </si>
  <si>
    <t xml:space="preserve">Emma is an architect — she will critique layouts harshly. Already commented that a Newton showflat had 'circulation issues.' Tailor presentations toward layout rationale, natural light, ceiling heights. James is the budget-holder but defers to Emma on spatial decisions. They have a 5yo and a Labrador — pet policy matters.</t>
  </si>
  <si>
    <t xml:space="preserve">NT-007</t>
  </si>
  <si>
    <t xml:space="preserve">Long-term relationship</t>
  </si>
  <si>
    <t xml:space="preserve">Mrs Goh referred Rajesh (CL-002). Treat as VIP referrer regardless of her own deal size. She prefers landline-style phone calls, no WhatsApp. Visit her at her current home (Serangoon Gardens landed) when possible — she values face-to-face. Adult daughter Linda usually attends viewings as gatekeeper.</t>
  </si>
  <si>
    <t xml:space="preserve">NT-008</t>
  </si>
  <si>
    <t xml:space="preserve">Mobility consideration</t>
  </si>
  <si>
    <t xml:space="preserve">Husband Mr Goh's mobility is worse than I initially understood — he uses a walking frame and has trouble with even small kerbs. Lift access on same floor is non-negotiable. Mt Alvernia access matters because that's where his cardiologist is. Pre-screen all options for direct lift + step-free entry.</t>
  </si>
  <si>
    <t xml:space="preserve">NT-009</t>
  </si>
  <si>
    <t xml:space="preserve">Communication style</t>
  </si>
  <si>
    <t xml:space="preserve">Daniel is a 2nd-year resident at NUH. On-call 1-in-3 nights. Reach him only via WhatsApp text, never call unless emergency. He decides FAST when he has good info — pre-package shortlists with photos, MRT distance, and price so he can decide in 2 minutes between cases. Don't oversell.</t>
  </si>
  <si>
    <t xml:space="preserve">NT-010</t>
  </si>
  <si>
    <t xml:space="preserve">Cultural notes</t>
  </si>
  <si>
    <t xml:space="preserve">Tanaka-san communicates formally in English emails (intermediate level). Prefers indirect feedback — 'this is interesting' may mean 'I'm not sold.' Mrs Tanaka's English is limited; bring Japanese-speaking agent or use translation for site visits. Punctuality is critical — arrive 10 min early. Business card exchange with both hands.</t>
  </si>
  <si>
    <t xml:space="preserve">NT-011</t>
  </si>
  <si>
    <t xml:space="preserve">Spouse misalignment</t>
  </si>
  <si>
    <t xml:space="preserve">After LS-0010 viewing, Vincent and Cheryl had a visible disagreement in the car. Cheryl wants modern, designer-driven; Vincent is drawn to prestige addresses regardless of build year. Strategy: present options that score BOTH (modern build IN prestige location, e.g. LS-0011). Avoid pushing pure prestige tear-downs.</t>
  </si>
  <si>
    <t xml:space="preserve">NT-012</t>
  </si>
  <si>
    <t xml:space="preserve">Sensitive context</t>
  </si>
  <si>
    <t xml:space="preserve">Aisha is in a fragile spot post-divorce. Avoid asking about her previous home or ex-husband. Her mother accompanied her on the LS-0013 viewing and may be co-financing — this changes loan structure. Be patient; she may need a few days between communications.</t>
  </si>
  <si>
    <t xml:space="preserve">NT-013</t>
  </si>
  <si>
    <t xml:space="preserve">Process notes</t>
  </si>
  <si>
    <t xml:space="preserve">All communication goes through PA Ms Tay (Tay Hui Lin, +65 9876 5432, hltay@limfamilytrust.sg). Never contact Mr Lim directly without Ms Tay's clearance. Ms Tay prefers detailed written briefs over calls. Documents must be PDF, redlines tracked. Tone: formal, concise, no marketing fluff.</t>
  </si>
  <si>
    <t xml:space="preserve">NT-014</t>
  </si>
  <si>
    <t xml:space="preserve">Multi-purchase pipeline</t>
  </si>
  <si>
    <t xml:space="preserve">Lim Family Trust pipeline beyond current deals: rumored interest in commercial conservation shophouse on Tanjong Pagar/Tras Street for the family office relocation. Worth raising in next quarterly update once D9 and Sentosa Cove are progressed.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</si>
</sst>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22"/>
    <col collapsed="false" customWidth="true" hidden="false" outlineLevel="0" max="7" min="7" style="0" width="10"/>
    <col collapsed="false" customWidth="true" hidden="false" outlineLevel="0" max="8" min="8" style="0" width="28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24"/>
    <col collapsed="false" customWidth="true" hidden="false" outlineLevel="0" max="12" min="12" style="0" width="16"/>
    <col collapsed="false" customWidth="true" hidden="false" outlineLevel="0" max="13" min="13" style="0" width="22"/>
    <col collapsed="false" customWidth="true" hidden="false" outlineLevel="0" max="14" min="14" style="0" width="18"/>
    <col collapsed="false" customWidth="true" hidden="false" outlineLevel="0" max="15" min="15" style="0" width="6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23.85" hidden="false" customHeight="false" outlineLevel="0" collapsed="false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n">
        <v>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customFormat="false" ht="23.85" hidden="false" customHeight="false" outlineLevel="0" collapsed="false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2" t="n">
        <v>4</v>
      </c>
      <c r="J3" s="2" t="s">
        <v>37</v>
      </c>
      <c r="K3" s="2" t="s">
        <v>38</v>
      </c>
      <c r="L3" s="2" t="s">
        <v>39</v>
      </c>
      <c r="M3" s="2" t="s">
        <v>40</v>
      </c>
      <c r="N3" s="2" t="s">
        <v>41</v>
      </c>
      <c r="O3" s="2" t="s">
        <v>42</v>
      </c>
    </row>
    <row r="4" customFormat="false" ht="23.85" hidden="false" customHeight="false" outlineLevel="0" collapsed="false">
      <c r="A4" s="2" t="s">
        <v>43</v>
      </c>
      <c r="B4" s="2" t="s">
        <v>44</v>
      </c>
      <c r="C4" s="2" t="s">
        <v>45</v>
      </c>
      <c r="D4" s="2" t="s">
        <v>46</v>
      </c>
      <c r="E4" s="2" t="s">
        <v>47</v>
      </c>
      <c r="F4" s="2" t="s">
        <v>20</v>
      </c>
      <c r="G4" s="2" t="s">
        <v>48</v>
      </c>
      <c r="H4" s="2" t="s">
        <v>49</v>
      </c>
      <c r="I4" s="2" t="n">
        <v>1</v>
      </c>
      <c r="J4" s="2" t="s">
        <v>23</v>
      </c>
      <c r="K4" s="2" t="s">
        <v>50</v>
      </c>
      <c r="L4" s="2" t="s">
        <v>51</v>
      </c>
      <c r="M4" s="2" t="s">
        <v>52</v>
      </c>
      <c r="N4" s="2" t="s">
        <v>27</v>
      </c>
      <c r="O4" s="2" t="s">
        <v>53</v>
      </c>
    </row>
    <row r="5" customFormat="false" ht="35.05" hidden="false" customHeight="false" outlineLevel="0" collapsed="false">
      <c r="A5" s="2" t="s">
        <v>54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48</v>
      </c>
      <c r="H5" s="2" t="s">
        <v>60</v>
      </c>
      <c r="I5" s="2" t="n">
        <v>3</v>
      </c>
      <c r="J5" s="2" t="s">
        <v>61</v>
      </c>
      <c r="K5" s="2" t="s">
        <v>62</v>
      </c>
      <c r="L5" s="2" t="s">
        <v>63</v>
      </c>
      <c r="M5" s="2" t="s">
        <v>4</v>
      </c>
      <c r="N5" s="2" t="s">
        <v>64</v>
      </c>
      <c r="O5" s="2" t="s">
        <v>65</v>
      </c>
    </row>
    <row r="6" customFormat="false" ht="23.85" hidden="false" customHeight="false" outlineLevel="0" collapsed="false">
      <c r="A6" s="2" t="s">
        <v>66</v>
      </c>
      <c r="B6" s="2" t="s">
        <v>67</v>
      </c>
      <c r="C6" s="2" t="s">
        <v>68</v>
      </c>
      <c r="D6" s="2" t="s">
        <v>69</v>
      </c>
      <c r="E6" s="2" t="s">
        <v>23</v>
      </c>
      <c r="F6" s="2" t="s">
        <v>20</v>
      </c>
      <c r="G6" s="2" t="s">
        <v>70</v>
      </c>
      <c r="H6" s="2" t="s">
        <v>71</v>
      </c>
      <c r="I6" s="2" t="n">
        <v>2</v>
      </c>
      <c r="J6" s="2" t="s">
        <v>72</v>
      </c>
      <c r="K6" s="2" t="s">
        <v>73</v>
      </c>
      <c r="L6" s="2" t="s">
        <v>74</v>
      </c>
      <c r="M6" s="2" t="s">
        <v>75</v>
      </c>
      <c r="N6" s="2" t="s">
        <v>76</v>
      </c>
      <c r="O6" s="2" t="s">
        <v>77</v>
      </c>
    </row>
    <row r="7" customFormat="false" ht="23.85" hidden="false" customHeight="false" outlineLevel="0" collapsed="false">
      <c r="A7" s="2" t="s">
        <v>78</v>
      </c>
      <c r="B7" s="2" t="s">
        <v>79</v>
      </c>
      <c r="C7" s="2" t="s">
        <v>80</v>
      </c>
      <c r="D7" s="2" t="s">
        <v>81</v>
      </c>
      <c r="E7" s="2" t="s">
        <v>82</v>
      </c>
      <c r="F7" s="2" t="s">
        <v>20</v>
      </c>
      <c r="G7" s="2" t="s">
        <v>83</v>
      </c>
      <c r="H7" s="2" t="s">
        <v>84</v>
      </c>
      <c r="I7" s="2" t="n">
        <v>1</v>
      </c>
      <c r="J7" s="2" t="s">
        <v>23</v>
      </c>
      <c r="K7" s="2" t="s">
        <v>85</v>
      </c>
      <c r="L7" s="2" t="s">
        <v>86</v>
      </c>
      <c r="M7" s="2" t="s">
        <v>26</v>
      </c>
      <c r="N7" s="2" t="s">
        <v>27</v>
      </c>
      <c r="O7" s="2" t="s">
        <v>87</v>
      </c>
    </row>
    <row r="8" customFormat="false" ht="35.05" hidden="false" customHeight="false" outlineLevel="0" collapsed="false">
      <c r="A8" s="2" t="s">
        <v>88</v>
      </c>
      <c r="B8" s="2" t="s">
        <v>89</v>
      </c>
      <c r="C8" s="2" t="s">
        <v>90</v>
      </c>
      <c r="D8" s="2" t="s">
        <v>91</v>
      </c>
      <c r="E8" s="2" t="s">
        <v>92</v>
      </c>
      <c r="F8" s="2" t="s">
        <v>93</v>
      </c>
      <c r="G8" s="2" t="s">
        <v>94</v>
      </c>
      <c r="H8" s="2" t="s">
        <v>95</v>
      </c>
      <c r="I8" s="2" t="n">
        <v>4</v>
      </c>
      <c r="J8" s="2" t="s">
        <v>96</v>
      </c>
      <c r="K8" s="2" t="s">
        <v>97</v>
      </c>
      <c r="L8" s="2" t="s">
        <v>98</v>
      </c>
      <c r="M8" s="2" t="s">
        <v>99</v>
      </c>
      <c r="N8" s="2" t="s">
        <v>100</v>
      </c>
      <c r="O8" s="2" t="s">
        <v>101</v>
      </c>
    </row>
    <row r="9" customFormat="false" ht="35.05" hidden="false" customHeight="false" outlineLevel="0" collapsed="false">
      <c r="A9" s="2" t="s">
        <v>102</v>
      </c>
      <c r="B9" s="2" t="s">
        <v>103</v>
      </c>
      <c r="C9" s="2" t="s">
        <v>104</v>
      </c>
      <c r="D9" s="2" t="s">
        <v>105</v>
      </c>
      <c r="E9" s="2" t="s">
        <v>106</v>
      </c>
      <c r="F9" s="2" t="s">
        <v>20</v>
      </c>
      <c r="G9" s="2" t="s">
        <v>107</v>
      </c>
      <c r="H9" s="2" t="s">
        <v>108</v>
      </c>
      <c r="I9" s="2" t="n">
        <v>4</v>
      </c>
      <c r="J9" s="2" t="s">
        <v>109</v>
      </c>
      <c r="K9" s="2" t="s">
        <v>110</v>
      </c>
      <c r="L9" s="2" t="s">
        <v>111</v>
      </c>
      <c r="M9" s="2" t="s">
        <v>26</v>
      </c>
      <c r="N9" s="2" t="s">
        <v>112</v>
      </c>
      <c r="O9" s="2" t="s">
        <v>113</v>
      </c>
    </row>
    <row r="10" customFormat="false" ht="35.05" hidden="false" customHeight="false" outlineLevel="0" collapsed="false">
      <c r="A10" s="2" t="s">
        <v>114</v>
      </c>
      <c r="B10" s="2" t="s">
        <v>115</v>
      </c>
      <c r="C10" s="2" t="s">
        <v>116</v>
      </c>
      <c r="D10" s="2" t="s">
        <v>117</v>
      </c>
      <c r="E10" s="2" t="s">
        <v>118</v>
      </c>
      <c r="F10" s="2" t="s">
        <v>119</v>
      </c>
      <c r="G10" s="2" t="s">
        <v>21</v>
      </c>
      <c r="H10" s="2" t="s">
        <v>120</v>
      </c>
      <c r="I10" s="2" t="n">
        <v>3</v>
      </c>
      <c r="J10" s="2" t="s">
        <v>121</v>
      </c>
      <c r="K10" s="2" t="s">
        <v>122</v>
      </c>
      <c r="L10" s="2" t="s">
        <v>123</v>
      </c>
      <c r="M10" s="2" t="s">
        <v>124</v>
      </c>
      <c r="N10" s="2" t="s">
        <v>125</v>
      </c>
      <c r="O10" s="2" t="s">
        <v>126</v>
      </c>
    </row>
    <row r="11" customFormat="false" ht="35.05" hidden="false" customHeight="false" outlineLevel="0" collapsed="false">
      <c r="A11" s="2" t="s">
        <v>127</v>
      </c>
      <c r="B11" s="2" t="s">
        <v>128</v>
      </c>
      <c r="C11" s="2" t="s">
        <v>129</v>
      </c>
      <c r="D11" s="2" t="s">
        <v>130</v>
      </c>
      <c r="E11" s="2" t="s">
        <v>131</v>
      </c>
      <c r="F11" s="2" t="s">
        <v>20</v>
      </c>
      <c r="G11" s="2" t="s">
        <v>132</v>
      </c>
      <c r="H11" s="2" t="s">
        <v>133</v>
      </c>
      <c r="I11" s="2" t="s">
        <v>23</v>
      </c>
      <c r="J11" s="2" t="s">
        <v>23</v>
      </c>
      <c r="K11" s="2" t="s">
        <v>134</v>
      </c>
      <c r="L11" s="2" t="s">
        <v>135</v>
      </c>
      <c r="M11" s="2" t="s">
        <v>136</v>
      </c>
      <c r="N11" s="2" t="s">
        <v>64</v>
      </c>
      <c r="O11" s="2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4"/>
    <col collapsed="false" customWidth="true" hidden="false" outlineLevel="0" max="5" min="5" style="0" width="26"/>
    <col collapsed="false" customWidth="true" hidden="false" outlineLevel="0" max="6" min="6" style="0" width="20"/>
    <col collapsed="false" customWidth="true" hidden="false" outlineLevel="0" max="8" min="7" style="0" width="8"/>
    <col collapsed="false" customWidth="true" hidden="false" outlineLevel="0" max="9" min="9" style="0" width="10"/>
    <col collapsed="false" customWidth="true" hidden="false" outlineLevel="0" max="10" min="10" style="0" width="18"/>
    <col collapsed="false" customWidth="true" hidden="false" outlineLevel="0" max="11" min="11" style="0" width="24"/>
    <col collapsed="false" customWidth="true" hidden="false" outlineLevel="0" max="12" min="12" style="0" width="12"/>
    <col collapsed="false" customWidth="true" hidden="false" outlineLevel="0" max="13" min="13" style="0" width="22"/>
    <col collapsed="false" customWidth="true" hidden="false" outlineLevel="0" max="14" min="14" style="0" width="18"/>
    <col collapsed="false" customWidth="true" hidden="false" outlineLevel="0" max="15" min="15" style="0" width="14"/>
    <col collapsed="false" customWidth="true" hidden="false" outlineLevel="0" max="16" min="16" style="0" width="40"/>
    <col collapsed="false" customWidth="true" hidden="false" outlineLevel="0" max="18" min="17" style="0" width="32"/>
    <col collapsed="false" customWidth="true" hidden="false" outlineLevel="0" max="19" min="19" style="0" width="22"/>
    <col collapsed="false" customWidth="true" hidden="false" outlineLevel="0" max="20" min="20" style="0" width="32"/>
  </cols>
  <sheetData>
    <row r="1" customFormat="false" ht="30" hidden="false" customHeight="true" outlineLevel="0" collapsed="false">
      <c r="A1" s="1" t="s">
        <v>0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  <c r="Q1" s="1" t="s">
        <v>153</v>
      </c>
      <c r="R1" s="1" t="s">
        <v>154</v>
      </c>
      <c r="S1" s="1" t="s">
        <v>155</v>
      </c>
      <c r="T1" s="1" t="s">
        <v>156</v>
      </c>
    </row>
    <row r="2" customFormat="false" ht="23.85" hidden="false" customHeight="false" outlineLevel="0" collapsed="false">
      <c r="A2" s="2" t="s">
        <v>15</v>
      </c>
      <c r="B2" s="2" t="s">
        <v>157</v>
      </c>
      <c r="C2" s="2" t="n">
        <v>1200000</v>
      </c>
      <c r="D2" s="2" t="n">
        <v>1600000</v>
      </c>
      <c r="E2" s="2" t="s">
        <v>158</v>
      </c>
      <c r="F2" s="2" t="s">
        <v>159</v>
      </c>
      <c r="G2" s="2" t="n">
        <v>4</v>
      </c>
      <c r="H2" s="2" t="n">
        <v>2</v>
      </c>
      <c r="I2" s="2" t="n">
        <v>1100</v>
      </c>
      <c r="J2" s="2" t="s">
        <v>160</v>
      </c>
      <c r="K2" s="2" t="s">
        <v>161</v>
      </c>
      <c r="L2" s="2" t="n">
        <v>10</v>
      </c>
      <c r="M2" s="2" t="s">
        <v>162</v>
      </c>
      <c r="N2" s="2" t="s">
        <v>163</v>
      </c>
      <c r="O2" s="2" t="s">
        <v>164</v>
      </c>
      <c r="P2" s="2" t="s">
        <v>165</v>
      </c>
      <c r="Q2" s="2" t="s">
        <v>166</v>
      </c>
      <c r="R2" s="2" t="s">
        <v>167</v>
      </c>
      <c r="S2" s="2" t="s">
        <v>168</v>
      </c>
      <c r="T2" s="2" t="s">
        <v>169</v>
      </c>
    </row>
    <row r="3" customFormat="false" ht="23.85" hidden="false" customHeight="false" outlineLevel="0" collapsed="false">
      <c r="A3" s="2" t="s">
        <v>29</v>
      </c>
      <c r="B3" s="2" t="s">
        <v>157</v>
      </c>
      <c r="C3" s="2" t="n">
        <v>3200000</v>
      </c>
      <c r="D3" s="2" t="n">
        <v>4500000</v>
      </c>
      <c r="E3" s="2" t="s">
        <v>170</v>
      </c>
      <c r="F3" s="2" t="s">
        <v>171</v>
      </c>
      <c r="G3" s="2" t="n">
        <v>4</v>
      </c>
      <c r="H3" s="2" t="n">
        <v>3</v>
      </c>
      <c r="I3" s="2" t="n">
        <v>1500</v>
      </c>
      <c r="J3" s="2" t="s">
        <v>172</v>
      </c>
      <c r="K3" s="2" t="s">
        <v>173</v>
      </c>
      <c r="L3" s="2" t="n">
        <v>8</v>
      </c>
      <c r="M3" s="2" t="s">
        <v>174</v>
      </c>
      <c r="N3" s="2" t="s">
        <v>175</v>
      </c>
      <c r="O3" s="2" t="s">
        <v>176</v>
      </c>
      <c r="P3" s="2" t="s">
        <v>177</v>
      </c>
      <c r="Q3" s="2" t="s">
        <v>178</v>
      </c>
      <c r="R3" s="2" t="s">
        <v>179</v>
      </c>
      <c r="S3" s="2" t="s">
        <v>180</v>
      </c>
      <c r="T3" s="2" t="s">
        <v>181</v>
      </c>
    </row>
    <row r="4" customFormat="false" ht="23.85" hidden="false" customHeight="false" outlineLevel="0" collapsed="false">
      <c r="A4" s="2" t="s">
        <v>43</v>
      </c>
      <c r="B4" s="2" t="s">
        <v>182</v>
      </c>
      <c r="C4" s="2" t="n">
        <v>1100000</v>
      </c>
      <c r="D4" s="2" t="n">
        <v>1400000</v>
      </c>
      <c r="E4" s="2" t="s">
        <v>183</v>
      </c>
      <c r="F4" s="2" t="s">
        <v>184</v>
      </c>
      <c r="G4" s="2" t="n">
        <v>1</v>
      </c>
      <c r="H4" s="2" t="n">
        <v>1</v>
      </c>
      <c r="I4" s="2" t="n">
        <v>500</v>
      </c>
      <c r="J4" s="2" t="s">
        <v>185</v>
      </c>
      <c r="K4" s="2" t="s">
        <v>186</v>
      </c>
      <c r="L4" s="2" t="n">
        <v>5</v>
      </c>
      <c r="M4" s="2" t="s">
        <v>23</v>
      </c>
      <c r="N4" s="2" t="s">
        <v>187</v>
      </c>
      <c r="O4" s="2" t="s">
        <v>188</v>
      </c>
      <c r="P4" s="2" t="s">
        <v>189</v>
      </c>
      <c r="Q4" s="2" t="s">
        <v>190</v>
      </c>
      <c r="R4" s="2" t="s">
        <v>191</v>
      </c>
      <c r="S4" s="2" t="s">
        <v>192</v>
      </c>
      <c r="T4" s="2" t="s">
        <v>193</v>
      </c>
    </row>
    <row r="5" customFormat="false" ht="35.05" hidden="false" customHeight="false" outlineLevel="0" collapsed="false">
      <c r="A5" s="2" t="s">
        <v>54</v>
      </c>
      <c r="B5" s="2" t="s">
        <v>194</v>
      </c>
      <c r="C5" s="2" t="n">
        <v>12000</v>
      </c>
      <c r="D5" s="2" t="n">
        <v>18000</v>
      </c>
      <c r="E5" s="2" t="s">
        <v>195</v>
      </c>
      <c r="F5" s="2" t="s">
        <v>188</v>
      </c>
      <c r="G5" s="2" t="n">
        <v>4</v>
      </c>
      <c r="H5" s="2" t="n">
        <v>3</v>
      </c>
      <c r="I5" s="2" t="n">
        <v>2000</v>
      </c>
      <c r="J5" s="2" t="s">
        <v>196</v>
      </c>
      <c r="K5" s="2" t="s">
        <v>197</v>
      </c>
      <c r="L5" s="2" t="n">
        <v>10</v>
      </c>
      <c r="M5" s="2" t="s">
        <v>198</v>
      </c>
      <c r="N5" s="2" t="s">
        <v>199</v>
      </c>
      <c r="O5" s="2" t="s">
        <v>23</v>
      </c>
      <c r="P5" s="2" t="s">
        <v>200</v>
      </c>
      <c r="Q5" s="2" t="s">
        <v>201</v>
      </c>
      <c r="R5" s="2" t="s">
        <v>202</v>
      </c>
      <c r="S5" s="2" t="s">
        <v>203</v>
      </c>
      <c r="T5" s="2" t="s">
        <v>204</v>
      </c>
    </row>
    <row r="6" customFormat="false" ht="23.85" hidden="false" customHeight="false" outlineLevel="0" collapsed="false">
      <c r="A6" s="2" t="s">
        <v>66</v>
      </c>
      <c r="B6" s="2" t="s">
        <v>157</v>
      </c>
      <c r="C6" s="2" t="n">
        <v>1400000</v>
      </c>
      <c r="D6" s="2" t="n">
        <v>1800000</v>
      </c>
      <c r="E6" s="2" t="s">
        <v>205</v>
      </c>
      <c r="F6" s="2" t="s">
        <v>188</v>
      </c>
      <c r="G6" s="2" t="n">
        <v>3</v>
      </c>
      <c r="H6" s="2" t="n">
        <v>2</v>
      </c>
      <c r="I6" s="2" t="n">
        <v>900</v>
      </c>
      <c r="J6" s="2" t="s">
        <v>206</v>
      </c>
      <c r="K6" s="2" t="s">
        <v>207</v>
      </c>
      <c r="L6" s="2" t="n">
        <v>8</v>
      </c>
      <c r="M6" s="2" t="s">
        <v>23</v>
      </c>
      <c r="N6" s="2" t="s">
        <v>208</v>
      </c>
      <c r="O6" s="2" t="s">
        <v>209</v>
      </c>
      <c r="P6" s="2" t="s">
        <v>210</v>
      </c>
      <c r="Q6" s="2" t="s">
        <v>211</v>
      </c>
      <c r="R6" s="2" t="s">
        <v>212</v>
      </c>
      <c r="S6" s="2" t="s">
        <v>213</v>
      </c>
      <c r="T6" s="2" t="s">
        <v>214</v>
      </c>
    </row>
    <row r="7" customFormat="false" ht="23.85" hidden="false" customHeight="false" outlineLevel="0" collapsed="false">
      <c r="A7" s="2" t="s">
        <v>78</v>
      </c>
      <c r="B7" s="2" t="s">
        <v>157</v>
      </c>
      <c r="C7" s="2" t="n">
        <v>550000</v>
      </c>
      <c r="D7" s="2" t="n">
        <v>750000</v>
      </c>
      <c r="E7" s="2" t="s">
        <v>215</v>
      </c>
      <c r="F7" s="2" t="s">
        <v>159</v>
      </c>
      <c r="G7" s="2" t="n">
        <v>3</v>
      </c>
      <c r="H7" s="2" t="n">
        <v>2</v>
      </c>
      <c r="I7" s="2" t="n">
        <v>750</v>
      </c>
      <c r="J7" s="2" t="s">
        <v>216</v>
      </c>
      <c r="K7" s="2" t="s">
        <v>217</v>
      </c>
      <c r="L7" s="2" t="n">
        <v>12</v>
      </c>
      <c r="M7" s="2" t="s">
        <v>23</v>
      </c>
      <c r="N7" s="2" t="s">
        <v>188</v>
      </c>
      <c r="O7" s="2" t="s">
        <v>23</v>
      </c>
      <c r="P7" s="2" t="s">
        <v>218</v>
      </c>
      <c r="Q7" s="2" t="s">
        <v>219</v>
      </c>
      <c r="R7" s="2" t="s">
        <v>220</v>
      </c>
      <c r="S7" s="2" t="s">
        <v>221</v>
      </c>
      <c r="T7" s="2" t="s">
        <v>222</v>
      </c>
    </row>
    <row r="8" customFormat="false" ht="35.05" hidden="false" customHeight="false" outlineLevel="0" collapsed="false">
      <c r="A8" s="2" t="s">
        <v>88</v>
      </c>
      <c r="B8" s="2" t="s">
        <v>223</v>
      </c>
      <c r="C8" s="2" t="n">
        <v>15000</v>
      </c>
      <c r="D8" s="2" t="n">
        <v>22000</v>
      </c>
      <c r="E8" s="2" t="s">
        <v>224</v>
      </c>
      <c r="F8" s="2" t="s">
        <v>188</v>
      </c>
      <c r="G8" s="2" t="n">
        <v>4</v>
      </c>
      <c r="H8" s="2" t="n">
        <v>3</v>
      </c>
      <c r="I8" s="2" t="n">
        <v>2200</v>
      </c>
      <c r="J8" s="2" t="s">
        <v>225</v>
      </c>
      <c r="K8" s="2" t="s">
        <v>226</v>
      </c>
      <c r="L8" s="2" t="n">
        <v>12</v>
      </c>
      <c r="M8" s="2" t="s">
        <v>227</v>
      </c>
      <c r="N8" s="2" t="s">
        <v>228</v>
      </c>
      <c r="O8" s="2" t="s">
        <v>23</v>
      </c>
      <c r="P8" s="2" t="s">
        <v>229</v>
      </c>
      <c r="Q8" s="2" t="s">
        <v>230</v>
      </c>
      <c r="R8" s="2" t="s">
        <v>231</v>
      </c>
      <c r="S8" s="2" t="s">
        <v>232</v>
      </c>
      <c r="T8" s="2" t="s">
        <v>233</v>
      </c>
    </row>
    <row r="9" customFormat="false" ht="23.85" hidden="false" customHeight="false" outlineLevel="0" collapsed="false">
      <c r="A9" s="2" t="s">
        <v>102</v>
      </c>
      <c r="B9" s="2" t="s">
        <v>157</v>
      </c>
      <c r="C9" s="2" t="n">
        <v>8000000</v>
      </c>
      <c r="D9" s="2" t="n">
        <v>18000000</v>
      </c>
      <c r="E9" s="2" t="s">
        <v>234</v>
      </c>
      <c r="F9" s="2" t="s">
        <v>235</v>
      </c>
      <c r="G9" s="2" t="n">
        <v>5</v>
      </c>
      <c r="H9" s="2" t="n">
        <v>5</v>
      </c>
      <c r="I9" s="2" t="n">
        <v>5000</v>
      </c>
      <c r="J9" s="2" t="s">
        <v>236</v>
      </c>
      <c r="K9" s="2" t="s">
        <v>237</v>
      </c>
      <c r="L9" s="2" t="n">
        <v>20</v>
      </c>
      <c r="M9" s="2" t="s">
        <v>23</v>
      </c>
      <c r="N9" s="2" t="s">
        <v>23</v>
      </c>
      <c r="O9" s="2" t="s">
        <v>23</v>
      </c>
      <c r="P9" s="2" t="s">
        <v>238</v>
      </c>
      <c r="Q9" s="2" t="s">
        <v>239</v>
      </c>
      <c r="R9" s="2" t="s">
        <v>240</v>
      </c>
      <c r="S9" s="2" t="s">
        <v>241</v>
      </c>
      <c r="T9" s="2" t="s">
        <v>242</v>
      </c>
    </row>
    <row r="10" customFormat="false" ht="23.85" hidden="false" customHeight="false" outlineLevel="0" collapsed="false">
      <c r="A10" s="2" t="s">
        <v>114</v>
      </c>
      <c r="B10" s="2" t="s">
        <v>157</v>
      </c>
      <c r="C10" s="2" t="n">
        <v>650000</v>
      </c>
      <c r="D10" s="2" t="n">
        <v>850000</v>
      </c>
      <c r="E10" s="2" t="s">
        <v>243</v>
      </c>
      <c r="F10" s="2" t="s">
        <v>244</v>
      </c>
      <c r="G10" s="2" t="n">
        <v>3</v>
      </c>
      <c r="H10" s="2" t="n">
        <v>2</v>
      </c>
      <c r="I10" s="2" t="n">
        <v>750</v>
      </c>
      <c r="J10" s="2" t="s">
        <v>245</v>
      </c>
      <c r="K10" s="2" t="s">
        <v>246</v>
      </c>
      <c r="L10" s="2" t="n">
        <v>10</v>
      </c>
      <c r="M10" s="2" t="s">
        <v>23</v>
      </c>
      <c r="N10" s="2" t="s">
        <v>247</v>
      </c>
      <c r="O10" s="2" t="s">
        <v>23</v>
      </c>
      <c r="P10" s="2" t="s">
        <v>248</v>
      </c>
      <c r="Q10" s="2" t="s">
        <v>249</v>
      </c>
      <c r="R10" s="2" t="s">
        <v>250</v>
      </c>
      <c r="S10" s="2" t="s">
        <v>251</v>
      </c>
      <c r="T10" s="2" t="s">
        <v>252</v>
      </c>
    </row>
    <row r="11" customFormat="false" ht="35.05" hidden="false" customHeight="false" outlineLevel="0" collapsed="false">
      <c r="A11" s="2" t="s">
        <v>127</v>
      </c>
      <c r="B11" s="2" t="s">
        <v>253</v>
      </c>
      <c r="C11" s="2" t="n">
        <v>4000000</v>
      </c>
      <c r="D11" s="2" t="n">
        <v>25000000</v>
      </c>
      <c r="E11" s="2" t="s">
        <v>254</v>
      </c>
      <c r="F11" s="2" t="s">
        <v>255</v>
      </c>
      <c r="G11" s="2" t="n">
        <v>3</v>
      </c>
      <c r="H11" s="2" t="n">
        <v>3</v>
      </c>
      <c r="I11" s="2" t="n">
        <v>1500</v>
      </c>
      <c r="J11" s="2" t="s">
        <v>256</v>
      </c>
      <c r="K11" s="2" t="s">
        <v>257</v>
      </c>
      <c r="L11" s="2" t="n">
        <v>15</v>
      </c>
      <c r="M11" s="2" t="s">
        <v>23</v>
      </c>
      <c r="N11" s="2" t="s">
        <v>258</v>
      </c>
      <c r="O11" s="2" t="s">
        <v>23</v>
      </c>
      <c r="P11" s="2" t="s">
        <v>259</v>
      </c>
      <c r="Q11" s="2" t="s">
        <v>260</v>
      </c>
      <c r="R11" s="2" t="s">
        <v>261</v>
      </c>
      <c r="S11" s="2" t="s">
        <v>262</v>
      </c>
      <c r="T11" s="2" t="s">
        <v>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8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2" min="11" style="0" width="8"/>
    <col collapsed="false" customWidth="true" hidden="false" outlineLevel="0" max="13" min="13" style="0" width="10"/>
    <col collapsed="false" customWidth="true" hidden="false" outlineLevel="0" max="14" min="14" style="0" width="22"/>
    <col collapsed="false" customWidth="true" hidden="false" outlineLevel="0" max="15" min="15" style="0" width="24"/>
    <col collapsed="false" customWidth="true" hidden="false" outlineLevel="0" max="16" min="16" style="0" width="50"/>
    <col collapsed="false" customWidth="true" hidden="false" outlineLevel="0" max="17" min="17" style="0" width="40"/>
    <col collapsed="false" customWidth="true" hidden="false" outlineLevel="0" max="18" min="18" style="0" width="12"/>
  </cols>
  <sheetData>
    <row r="1" customFormat="false" ht="30" hidden="false" customHeight="true" outlineLevel="0" collapsed="false">
      <c r="A1" s="1" t="s">
        <v>264</v>
      </c>
      <c r="B1" s="1" t="s">
        <v>0</v>
      </c>
      <c r="C1" s="1" t="s">
        <v>265</v>
      </c>
      <c r="D1" s="1" t="s">
        <v>266</v>
      </c>
      <c r="E1" s="1" t="s">
        <v>267</v>
      </c>
      <c r="F1" s="1" t="s">
        <v>141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272</v>
      </c>
      <c r="L1" s="1" t="s">
        <v>273</v>
      </c>
      <c r="M1" s="1" t="s">
        <v>274</v>
      </c>
      <c r="N1" s="1" t="s">
        <v>275</v>
      </c>
      <c r="O1" s="1" t="s">
        <v>276</v>
      </c>
      <c r="P1" s="1" t="s">
        <v>277</v>
      </c>
      <c r="Q1" s="1" t="s">
        <v>278</v>
      </c>
      <c r="R1" s="1" t="s">
        <v>279</v>
      </c>
    </row>
    <row r="2" customFormat="false" ht="23.85" hidden="false" customHeight="false" outlineLevel="0" collapsed="false">
      <c r="A2" s="2" t="s">
        <v>280</v>
      </c>
      <c r="B2" s="2" t="s">
        <v>15</v>
      </c>
      <c r="C2" s="2" t="s">
        <v>281</v>
      </c>
      <c r="D2" s="2" t="s">
        <v>282</v>
      </c>
      <c r="E2" s="2" t="s">
        <v>283</v>
      </c>
      <c r="F2" s="2" t="s">
        <v>284</v>
      </c>
      <c r="G2" s="2" t="s">
        <v>285</v>
      </c>
      <c r="H2" s="2" t="n">
        <v>1480000</v>
      </c>
      <c r="I2" s="2" t="n">
        <v>1184</v>
      </c>
      <c r="J2" s="3" t="n">
        <f aca="false">IFERROR(H2/I2,"")</f>
        <v>1250</v>
      </c>
      <c r="K2" s="2" t="n">
        <v>4</v>
      </c>
      <c r="L2" s="2" t="n">
        <v>3</v>
      </c>
      <c r="M2" s="2" t="n">
        <v>2014</v>
      </c>
      <c r="N2" s="2" t="s">
        <v>286</v>
      </c>
      <c r="O2" s="2" t="s">
        <v>287</v>
      </c>
      <c r="P2" s="2" t="s">
        <v>288</v>
      </c>
      <c r="Q2" s="2" t="s">
        <v>289</v>
      </c>
      <c r="R2" s="2" t="s">
        <v>290</v>
      </c>
    </row>
    <row r="3" customFormat="false" ht="23.85" hidden="false" customHeight="false" outlineLevel="0" collapsed="false">
      <c r="A3" s="2" t="s">
        <v>291</v>
      </c>
      <c r="B3" s="2" t="s">
        <v>15</v>
      </c>
      <c r="C3" s="2" t="s">
        <v>292</v>
      </c>
      <c r="D3" s="2" t="s">
        <v>293</v>
      </c>
      <c r="E3" s="2" t="s">
        <v>283</v>
      </c>
      <c r="F3" s="2" t="s">
        <v>294</v>
      </c>
      <c r="G3" s="2" t="s">
        <v>295</v>
      </c>
      <c r="H3" s="2" t="n">
        <v>1350000</v>
      </c>
      <c r="I3" s="2" t="n">
        <v>1098</v>
      </c>
      <c r="J3" s="3" t="n">
        <f aca="false">IFERROR(H3/I3,"")</f>
        <v>1229.50819672131</v>
      </c>
      <c r="K3" s="2" t="n">
        <v>4</v>
      </c>
      <c r="L3" s="2" t="n">
        <v>3</v>
      </c>
      <c r="M3" s="2" t="n">
        <v>2019</v>
      </c>
      <c r="N3" s="2" t="s">
        <v>296</v>
      </c>
      <c r="O3" s="2" t="s">
        <v>297</v>
      </c>
      <c r="P3" s="2" t="s">
        <v>298</v>
      </c>
      <c r="Q3" s="2" t="s">
        <v>299</v>
      </c>
      <c r="R3" s="2" t="s">
        <v>300</v>
      </c>
    </row>
    <row r="4" customFormat="false" ht="23.85" hidden="false" customHeight="false" outlineLevel="0" collapsed="false">
      <c r="A4" s="2" t="s">
        <v>301</v>
      </c>
      <c r="B4" s="2" t="s">
        <v>29</v>
      </c>
      <c r="C4" s="2" t="s">
        <v>302</v>
      </c>
      <c r="D4" s="2" t="s">
        <v>303</v>
      </c>
      <c r="E4" s="2" t="s">
        <v>304</v>
      </c>
      <c r="F4" s="2" t="s">
        <v>305</v>
      </c>
      <c r="G4" s="2" t="s">
        <v>306</v>
      </c>
      <c r="H4" s="2" t="n">
        <v>4100000</v>
      </c>
      <c r="I4" s="2" t="n">
        <v>1604</v>
      </c>
      <c r="J4" s="3" t="n">
        <f aca="false">IFERROR(H4/I4,"")</f>
        <v>2556.10972568579</v>
      </c>
      <c r="K4" s="2" t="n">
        <v>4</v>
      </c>
      <c r="L4" s="2" t="n">
        <v>4</v>
      </c>
      <c r="M4" s="2" t="n">
        <v>2008</v>
      </c>
      <c r="N4" s="2" t="s">
        <v>307</v>
      </c>
      <c r="O4" s="2" t="s">
        <v>308</v>
      </c>
      <c r="P4" s="2" t="s">
        <v>309</v>
      </c>
      <c r="Q4" s="2" t="s">
        <v>310</v>
      </c>
      <c r="R4" s="2" t="s">
        <v>86</v>
      </c>
    </row>
    <row r="5" customFormat="false" ht="23.85" hidden="false" customHeight="false" outlineLevel="0" collapsed="false">
      <c r="A5" s="2" t="s">
        <v>311</v>
      </c>
      <c r="B5" s="2" t="s">
        <v>29</v>
      </c>
      <c r="C5" s="2" t="s">
        <v>312</v>
      </c>
      <c r="D5" s="2" t="s">
        <v>313</v>
      </c>
      <c r="E5" s="2" t="s">
        <v>304</v>
      </c>
      <c r="F5" s="2" t="s">
        <v>305</v>
      </c>
      <c r="G5" s="2" t="s">
        <v>306</v>
      </c>
      <c r="H5" s="2" t="n">
        <v>3900000</v>
      </c>
      <c r="I5" s="2" t="n">
        <v>1733</v>
      </c>
      <c r="J5" s="3" t="n">
        <f aca="false">IFERROR(H5/I5,"")</f>
        <v>2250.43277553376</v>
      </c>
      <c r="K5" s="2" t="n">
        <v>4</v>
      </c>
      <c r="L5" s="2" t="n">
        <v>3</v>
      </c>
      <c r="M5" s="2" t="n">
        <v>2002</v>
      </c>
      <c r="N5" s="2" t="s">
        <v>314</v>
      </c>
      <c r="O5" s="2" t="s">
        <v>315</v>
      </c>
      <c r="P5" s="2" t="s">
        <v>316</v>
      </c>
      <c r="Q5" s="2" t="s">
        <v>317</v>
      </c>
      <c r="R5" s="2" t="s">
        <v>318</v>
      </c>
    </row>
    <row r="6" customFormat="false" ht="23.85" hidden="false" customHeight="false" outlineLevel="0" collapsed="false">
      <c r="A6" s="2" t="s">
        <v>319</v>
      </c>
      <c r="B6" s="2" t="s">
        <v>43</v>
      </c>
      <c r="C6" s="2" t="s">
        <v>320</v>
      </c>
      <c r="D6" s="2" t="s">
        <v>321</v>
      </c>
      <c r="E6" s="2" t="s">
        <v>322</v>
      </c>
      <c r="F6" s="2" t="s">
        <v>305</v>
      </c>
      <c r="G6" s="2" t="s">
        <v>295</v>
      </c>
      <c r="H6" s="2" t="n">
        <v>1180000</v>
      </c>
      <c r="I6" s="2" t="n">
        <v>484</v>
      </c>
      <c r="J6" s="3" t="n">
        <f aca="false">IFERROR(H6/I6,"")</f>
        <v>2438.01652892562</v>
      </c>
      <c r="K6" s="2" t="n">
        <v>1</v>
      </c>
      <c r="L6" s="2" t="n">
        <v>1</v>
      </c>
      <c r="M6" s="2" t="n">
        <v>2022</v>
      </c>
      <c r="N6" s="2" t="s">
        <v>323</v>
      </c>
      <c r="O6" s="2" t="s">
        <v>324</v>
      </c>
      <c r="P6" s="2" t="s">
        <v>325</v>
      </c>
      <c r="Q6" s="2" t="s">
        <v>326</v>
      </c>
      <c r="R6" s="2" t="s">
        <v>327</v>
      </c>
    </row>
    <row r="7" customFormat="false" ht="23.85" hidden="false" customHeight="false" outlineLevel="0" collapsed="false">
      <c r="A7" s="2" t="s">
        <v>328</v>
      </c>
      <c r="B7" s="2" t="s">
        <v>43</v>
      </c>
      <c r="C7" s="2" t="s">
        <v>329</v>
      </c>
      <c r="D7" s="2" t="s">
        <v>330</v>
      </c>
      <c r="E7" s="2" t="s">
        <v>331</v>
      </c>
      <c r="F7" s="2" t="s">
        <v>332</v>
      </c>
      <c r="G7" s="2" t="s">
        <v>306</v>
      </c>
      <c r="H7" s="2" t="n">
        <v>1080000</v>
      </c>
      <c r="I7" s="2" t="n">
        <v>506</v>
      </c>
      <c r="J7" s="3" t="n">
        <f aca="false">IFERROR(H7/I7,"")</f>
        <v>2134.38735177866</v>
      </c>
      <c r="K7" s="2" t="n">
        <v>1</v>
      </c>
      <c r="L7" s="2" t="n">
        <v>1</v>
      </c>
      <c r="M7" s="2" t="n">
        <v>2017</v>
      </c>
      <c r="N7" s="2" t="s">
        <v>296</v>
      </c>
      <c r="O7" s="2" t="s">
        <v>287</v>
      </c>
      <c r="P7" s="2" t="s">
        <v>333</v>
      </c>
      <c r="Q7" s="2" t="s">
        <v>334</v>
      </c>
      <c r="R7" s="2" t="s">
        <v>335</v>
      </c>
    </row>
    <row r="8" customFormat="false" ht="23.85" hidden="false" customHeight="false" outlineLevel="0" collapsed="false">
      <c r="A8" s="2" t="s">
        <v>336</v>
      </c>
      <c r="B8" s="2" t="s">
        <v>66</v>
      </c>
      <c r="C8" s="2" t="s">
        <v>337</v>
      </c>
      <c r="D8" s="2" t="s">
        <v>338</v>
      </c>
      <c r="E8" s="2" t="s">
        <v>339</v>
      </c>
      <c r="F8" s="2" t="s">
        <v>305</v>
      </c>
      <c r="G8" s="2" t="s">
        <v>306</v>
      </c>
      <c r="H8" s="2" t="n">
        <v>1750000</v>
      </c>
      <c r="I8" s="2" t="n">
        <v>947</v>
      </c>
      <c r="J8" s="3" t="n">
        <f aca="false">IFERROR(H8/I8,"")</f>
        <v>1847.94086589229</v>
      </c>
      <c r="K8" s="2" t="n">
        <v>3</v>
      </c>
      <c r="L8" s="2" t="n">
        <v>2</v>
      </c>
      <c r="M8" s="2" t="n">
        <v>2010</v>
      </c>
      <c r="N8" s="2" t="s">
        <v>340</v>
      </c>
      <c r="O8" s="2" t="s">
        <v>341</v>
      </c>
      <c r="P8" s="2" t="s">
        <v>342</v>
      </c>
      <c r="Q8" s="2" t="s">
        <v>343</v>
      </c>
      <c r="R8" s="2" t="s">
        <v>344</v>
      </c>
    </row>
    <row r="9" customFormat="false" ht="23.85" hidden="false" customHeight="false" outlineLevel="0" collapsed="false">
      <c r="A9" s="2" t="s">
        <v>345</v>
      </c>
      <c r="B9" s="2" t="s">
        <v>78</v>
      </c>
      <c r="C9" s="2" t="s">
        <v>346</v>
      </c>
      <c r="D9" s="2" t="s">
        <v>347</v>
      </c>
      <c r="E9" s="2" t="s">
        <v>348</v>
      </c>
      <c r="F9" s="2" t="s">
        <v>305</v>
      </c>
      <c r="G9" s="2" t="s">
        <v>295</v>
      </c>
      <c r="H9" s="2" t="n">
        <v>1450000</v>
      </c>
      <c r="I9" s="2" t="n">
        <v>624</v>
      </c>
      <c r="J9" s="3" t="n">
        <f aca="false">IFERROR(H9/I9,"")</f>
        <v>2323.71794871795</v>
      </c>
      <c r="K9" s="2" t="n">
        <v>2</v>
      </c>
      <c r="L9" s="2" t="n">
        <v>2</v>
      </c>
      <c r="M9" s="2" t="n">
        <v>2023</v>
      </c>
      <c r="N9" s="2" t="s">
        <v>286</v>
      </c>
      <c r="O9" s="2" t="s">
        <v>349</v>
      </c>
      <c r="P9" s="2" t="s">
        <v>350</v>
      </c>
      <c r="Q9" s="2" t="s">
        <v>351</v>
      </c>
      <c r="R9" s="2" t="s">
        <v>352</v>
      </c>
    </row>
    <row r="10" customFormat="false" ht="23.85" hidden="false" customHeight="false" outlineLevel="0" collapsed="false">
      <c r="A10" s="2" t="s">
        <v>353</v>
      </c>
      <c r="B10" s="2" t="s">
        <v>78</v>
      </c>
      <c r="C10" s="2" t="s">
        <v>354</v>
      </c>
      <c r="D10" s="2" t="s">
        <v>355</v>
      </c>
      <c r="E10" s="2" t="s">
        <v>348</v>
      </c>
      <c r="F10" s="2" t="s">
        <v>356</v>
      </c>
      <c r="G10" s="2" t="s">
        <v>357</v>
      </c>
      <c r="H10" s="2" t="n">
        <v>720000</v>
      </c>
      <c r="I10" s="2" t="n">
        <v>936</v>
      </c>
      <c r="J10" s="3" t="n">
        <f aca="false">IFERROR(H10/I10,"")</f>
        <v>769.230769230769</v>
      </c>
      <c r="K10" s="2" t="n">
        <v>3</v>
      </c>
      <c r="L10" s="2" t="n">
        <v>2</v>
      </c>
      <c r="M10" s="2" t="n">
        <v>2015</v>
      </c>
      <c r="N10" s="2" t="s">
        <v>358</v>
      </c>
      <c r="O10" s="2" t="s">
        <v>359</v>
      </c>
      <c r="P10" s="2" t="s">
        <v>360</v>
      </c>
      <c r="Q10" s="2" t="s">
        <v>361</v>
      </c>
      <c r="R10" s="2" t="s">
        <v>362</v>
      </c>
    </row>
    <row r="11" customFormat="false" ht="23.85" hidden="false" customHeight="false" outlineLevel="0" collapsed="false">
      <c r="A11" s="2" t="s">
        <v>363</v>
      </c>
      <c r="B11" s="2" t="s">
        <v>102</v>
      </c>
      <c r="C11" s="2" t="s">
        <v>364</v>
      </c>
      <c r="D11" s="2" t="s">
        <v>365</v>
      </c>
      <c r="E11" s="2" t="s">
        <v>304</v>
      </c>
      <c r="F11" s="2" t="s">
        <v>366</v>
      </c>
      <c r="G11" s="2" t="s">
        <v>306</v>
      </c>
      <c r="H11" s="2" t="n">
        <v>22000000</v>
      </c>
      <c r="I11" s="2" t="n">
        <v>15000</v>
      </c>
      <c r="J11" s="3" t="n">
        <f aca="false">IFERROR(H11/I11,"")</f>
        <v>1466.66666666667</v>
      </c>
      <c r="K11" s="2" t="n">
        <v>6</v>
      </c>
      <c r="L11" s="2" t="n">
        <v>7</v>
      </c>
      <c r="M11" s="2" t="n">
        <v>1995</v>
      </c>
      <c r="N11" s="2" t="s">
        <v>367</v>
      </c>
      <c r="O11" s="2" t="s">
        <v>368</v>
      </c>
      <c r="P11" s="2" t="s">
        <v>369</v>
      </c>
      <c r="Q11" s="2" t="s">
        <v>370</v>
      </c>
      <c r="R11" s="2" t="s">
        <v>371</v>
      </c>
    </row>
    <row r="12" customFormat="false" ht="23.85" hidden="false" customHeight="false" outlineLevel="0" collapsed="false">
      <c r="A12" s="2" t="s">
        <v>372</v>
      </c>
      <c r="B12" s="2" t="s">
        <v>102</v>
      </c>
      <c r="C12" s="2" t="s">
        <v>373</v>
      </c>
      <c r="D12" s="2" t="s">
        <v>374</v>
      </c>
      <c r="E12" s="2" t="s">
        <v>304</v>
      </c>
      <c r="F12" s="2" t="s">
        <v>366</v>
      </c>
      <c r="G12" s="2" t="s">
        <v>306</v>
      </c>
      <c r="H12" s="2" t="n">
        <v>15500000</v>
      </c>
      <c r="I12" s="2" t="n">
        <v>10800</v>
      </c>
      <c r="J12" s="3" t="n">
        <f aca="false">IFERROR(H12/I12,"")</f>
        <v>1435.18518518519</v>
      </c>
      <c r="K12" s="2" t="n">
        <v>5</v>
      </c>
      <c r="L12" s="2" t="n">
        <v>6</v>
      </c>
      <c r="M12" s="2" t="n">
        <v>2017</v>
      </c>
      <c r="N12" s="2" t="s">
        <v>375</v>
      </c>
      <c r="O12" s="2" t="s">
        <v>376</v>
      </c>
      <c r="P12" s="2" t="s">
        <v>377</v>
      </c>
      <c r="Q12" s="2" t="s">
        <v>378</v>
      </c>
      <c r="R12" s="2" t="s">
        <v>63</v>
      </c>
    </row>
    <row r="13" customFormat="false" ht="23.85" hidden="false" customHeight="false" outlineLevel="0" collapsed="false">
      <c r="A13" s="2" t="s">
        <v>379</v>
      </c>
      <c r="B13" s="2" t="s">
        <v>114</v>
      </c>
      <c r="C13" s="2" t="s">
        <v>380</v>
      </c>
      <c r="D13" s="2" t="s">
        <v>381</v>
      </c>
      <c r="E13" s="2" t="s">
        <v>382</v>
      </c>
      <c r="F13" s="2" t="s">
        <v>383</v>
      </c>
      <c r="G13" s="2" t="s">
        <v>384</v>
      </c>
      <c r="H13" s="2" t="n">
        <v>480000</v>
      </c>
      <c r="I13" s="2" t="n">
        <v>753</v>
      </c>
      <c r="J13" s="3" t="n">
        <f aca="false">IFERROR(H13/I13,"")</f>
        <v>637.450199203187</v>
      </c>
      <c r="K13" s="2" t="n">
        <v>2</v>
      </c>
      <c r="L13" s="2" t="n">
        <v>2</v>
      </c>
      <c r="M13" s="2" t="n">
        <v>1980</v>
      </c>
      <c r="N13" s="2" t="s">
        <v>358</v>
      </c>
      <c r="O13" s="2" t="s">
        <v>385</v>
      </c>
      <c r="P13" s="2" t="s">
        <v>386</v>
      </c>
      <c r="Q13" s="2" t="s">
        <v>387</v>
      </c>
      <c r="R13" s="2" t="s">
        <v>388</v>
      </c>
    </row>
    <row r="14" customFormat="false" ht="23.85" hidden="false" customHeight="false" outlineLevel="0" collapsed="false">
      <c r="A14" s="2" t="s">
        <v>389</v>
      </c>
      <c r="B14" s="2" t="s">
        <v>114</v>
      </c>
      <c r="C14" s="2" t="s">
        <v>390</v>
      </c>
      <c r="D14" s="2" t="s">
        <v>391</v>
      </c>
      <c r="E14" s="2" t="s">
        <v>382</v>
      </c>
      <c r="F14" s="2" t="s">
        <v>356</v>
      </c>
      <c r="G14" s="2" t="s">
        <v>392</v>
      </c>
      <c r="H14" s="2" t="n">
        <v>720000</v>
      </c>
      <c r="I14" s="2" t="n">
        <v>1001</v>
      </c>
      <c r="J14" s="3" t="n">
        <f aca="false">IFERROR(H14/I14,"")</f>
        <v>719.280719280719</v>
      </c>
      <c r="K14" s="2" t="n">
        <v>3</v>
      </c>
      <c r="L14" s="2" t="n">
        <v>2</v>
      </c>
      <c r="M14" s="2" t="n">
        <v>2000</v>
      </c>
      <c r="N14" s="2" t="s">
        <v>358</v>
      </c>
      <c r="O14" s="2" t="s">
        <v>376</v>
      </c>
      <c r="P14" s="2" t="s">
        <v>393</v>
      </c>
      <c r="Q14" s="2" t="s">
        <v>394</v>
      </c>
      <c r="R14" s="2" t="s">
        <v>395</v>
      </c>
    </row>
    <row r="15" customFormat="false" ht="23.85" hidden="false" customHeight="false" outlineLevel="0" collapsed="false">
      <c r="A15" s="2" t="s">
        <v>396</v>
      </c>
      <c r="B15" s="2" t="s">
        <v>127</v>
      </c>
      <c r="C15" s="2" t="s">
        <v>397</v>
      </c>
      <c r="D15" s="2" t="s">
        <v>398</v>
      </c>
      <c r="E15" s="2" t="s">
        <v>399</v>
      </c>
      <c r="F15" s="2" t="s">
        <v>400</v>
      </c>
      <c r="G15" s="2" t="s">
        <v>306</v>
      </c>
      <c r="H15" s="2" t="n">
        <v>12000000</v>
      </c>
      <c r="I15" s="2" t="n">
        <v>2691</v>
      </c>
      <c r="J15" s="3" t="n">
        <f aca="false">IFERROR(H15/I15,"")</f>
        <v>4459.30880713489</v>
      </c>
      <c r="K15" s="2" t="n">
        <v>3</v>
      </c>
      <c r="L15" s="2" t="n">
        <v>4</v>
      </c>
      <c r="M15" s="2" t="n">
        <v>2011</v>
      </c>
      <c r="N15" s="2" t="s">
        <v>401</v>
      </c>
      <c r="O15" s="2" t="s">
        <v>402</v>
      </c>
      <c r="P15" s="2" t="s">
        <v>403</v>
      </c>
      <c r="Q15" s="2" t="s">
        <v>404</v>
      </c>
      <c r="R15" s="2" t="s"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5" min="5" style="0" width="26"/>
    <col collapsed="false" customWidth="true" hidden="false" outlineLevel="0" max="6" min="6" style="0" width="28"/>
    <col collapsed="false" customWidth="true" hidden="false" outlineLevel="0" max="7" min="7" style="0" width="10"/>
    <col collapsed="false" customWidth="true" hidden="false" outlineLevel="0" max="8" min="8" style="0" width="32"/>
    <col collapsed="false" customWidth="true" hidden="false" outlineLevel="0" max="9" min="9" style="0" width="42"/>
    <col collapsed="false" customWidth="true" hidden="false" outlineLevel="0" max="10" min="10" style="0" width="36"/>
  </cols>
  <sheetData>
    <row r="1" customFormat="false" ht="30" hidden="false" customHeight="true" outlineLevel="0" collapsed="false">
      <c r="A1" s="1" t="s">
        <v>405</v>
      </c>
      <c r="B1" s="1" t="s">
        <v>406</v>
      </c>
      <c r="C1" s="1" t="s">
        <v>0</v>
      </c>
      <c r="D1" s="1" t="s">
        <v>264</v>
      </c>
      <c r="E1" s="1" t="s">
        <v>407</v>
      </c>
      <c r="F1" s="1" t="s">
        <v>408</v>
      </c>
      <c r="G1" s="1" t="s">
        <v>409</v>
      </c>
      <c r="H1" s="1" t="s">
        <v>410</v>
      </c>
      <c r="I1" s="1" t="s">
        <v>411</v>
      </c>
      <c r="J1" s="1" t="s">
        <v>412</v>
      </c>
    </row>
    <row r="2" customFormat="false" ht="35.05" hidden="false" customHeight="false" outlineLevel="0" collapsed="false">
      <c r="A2" s="2" t="s">
        <v>413</v>
      </c>
      <c r="B2" s="2" t="s">
        <v>414</v>
      </c>
      <c r="C2" s="2" t="s">
        <v>15</v>
      </c>
      <c r="D2" s="2" t="s">
        <v>280</v>
      </c>
      <c r="E2" s="2" t="s">
        <v>415</v>
      </c>
      <c r="F2" s="2" t="s">
        <v>416</v>
      </c>
      <c r="G2" s="2" t="n">
        <v>45</v>
      </c>
      <c r="H2" s="2" t="s">
        <v>417</v>
      </c>
      <c r="I2" s="2" t="s">
        <v>418</v>
      </c>
      <c r="J2" s="2" t="s">
        <v>419</v>
      </c>
    </row>
    <row r="3" customFormat="false" ht="23.85" hidden="false" customHeight="false" outlineLevel="0" collapsed="false">
      <c r="A3" s="2" t="s">
        <v>420</v>
      </c>
      <c r="B3" s="2" t="s">
        <v>300</v>
      </c>
      <c r="C3" s="2" t="s">
        <v>15</v>
      </c>
      <c r="D3" s="2" t="s">
        <v>291</v>
      </c>
      <c r="E3" s="2" t="s">
        <v>415</v>
      </c>
      <c r="F3" s="2" t="s">
        <v>421</v>
      </c>
      <c r="G3" s="2" t="n">
        <v>30</v>
      </c>
      <c r="H3" s="2" t="s">
        <v>422</v>
      </c>
      <c r="I3" s="2" t="s">
        <v>423</v>
      </c>
      <c r="J3" s="2" t="s">
        <v>424</v>
      </c>
    </row>
    <row r="4" customFormat="false" ht="23.85" hidden="false" customHeight="false" outlineLevel="0" collapsed="false">
      <c r="A4" s="2" t="s">
        <v>425</v>
      </c>
      <c r="B4" s="2" t="s">
        <v>426</v>
      </c>
      <c r="C4" s="2" t="s">
        <v>29</v>
      </c>
      <c r="D4" s="2" t="s">
        <v>301</v>
      </c>
      <c r="E4" s="2" t="s">
        <v>415</v>
      </c>
      <c r="F4" s="2" t="s">
        <v>427</v>
      </c>
      <c r="G4" s="2" t="n">
        <v>60</v>
      </c>
      <c r="H4" s="2" t="s">
        <v>428</v>
      </c>
      <c r="I4" s="2" t="s">
        <v>429</v>
      </c>
      <c r="J4" s="2" t="s">
        <v>430</v>
      </c>
    </row>
    <row r="5" customFormat="false" ht="23.85" hidden="false" customHeight="false" outlineLevel="0" collapsed="false">
      <c r="A5" s="2" t="s">
        <v>431</v>
      </c>
      <c r="B5" s="2" t="s">
        <v>335</v>
      </c>
      <c r="C5" s="2" t="s">
        <v>29</v>
      </c>
      <c r="D5" s="2" t="s">
        <v>311</v>
      </c>
      <c r="E5" s="2" t="s">
        <v>415</v>
      </c>
      <c r="F5" s="2" t="s">
        <v>432</v>
      </c>
      <c r="G5" s="2" t="n">
        <v>50</v>
      </c>
      <c r="H5" s="2" t="s">
        <v>433</v>
      </c>
      <c r="I5" s="2" t="s">
        <v>434</v>
      </c>
      <c r="J5" s="2" t="s">
        <v>435</v>
      </c>
    </row>
    <row r="6" customFormat="false" ht="35.05" hidden="false" customHeight="false" outlineLevel="0" collapsed="false">
      <c r="A6" s="2" t="s">
        <v>436</v>
      </c>
      <c r="B6" s="2" t="s">
        <v>63</v>
      </c>
      <c r="C6" s="2" t="s">
        <v>54</v>
      </c>
      <c r="D6" s="2" t="s">
        <v>23</v>
      </c>
      <c r="E6" s="2" t="s">
        <v>437</v>
      </c>
      <c r="F6" s="2" t="s">
        <v>438</v>
      </c>
      <c r="G6" s="2" t="n">
        <v>90</v>
      </c>
      <c r="H6" s="2" t="s">
        <v>439</v>
      </c>
      <c r="I6" s="2" t="s">
        <v>440</v>
      </c>
      <c r="J6" s="2" t="s">
        <v>441</v>
      </c>
    </row>
    <row r="7" customFormat="false" ht="35.05" hidden="false" customHeight="false" outlineLevel="0" collapsed="false">
      <c r="A7" s="2" t="s">
        <v>442</v>
      </c>
      <c r="B7" s="2" t="s">
        <v>443</v>
      </c>
      <c r="C7" s="2" t="s">
        <v>66</v>
      </c>
      <c r="D7" s="2" t="s">
        <v>336</v>
      </c>
      <c r="E7" s="2" t="s">
        <v>415</v>
      </c>
      <c r="F7" s="2" t="s">
        <v>444</v>
      </c>
      <c r="G7" s="2" t="n">
        <v>75</v>
      </c>
      <c r="H7" s="2" t="s">
        <v>445</v>
      </c>
      <c r="I7" s="2" t="s">
        <v>446</v>
      </c>
      <c r="J7" s="2" t="s">
        <v>447</v>
      </c>
    </row>
    <row r="8" customFormat="false" ht="35.05" hidden="false" customHeight="false" outlineLevel="0" collapsed="false">
      <c r="A8" s="2" t="s">
        <v>448</v>
      </c>
      <c r="B8" s="2" t="s">
        <v>123</v>
      </c>
      <c r="C8" s="2" t="s">
        <v>78</v>
      </c>
      <c r="D8" s="2" t="s">
        <v>353</v>
      </c>
      <c r="E8" s="2" t="s">
        <v>415</v>
      </c>
      <c r="F8" s="2" t="s">
        <v>449</v>
      </c>
      <c r="G8" s="2" t="n">
        <v>25</v>
      </c>
      <c r="H8" s="2" t="s">
        <v>450</v>
      </c>
      <c r="I8" s="2" t="s">
        <v>451</v>
      </c>
      <c r="J8" s="2" t="s">
        <v>452</v>
      </c>
    </row>
    <row r="9" customFormat="false" ht="23.85" hidden="false" customHeight="false" outlineLevel="0" collapsed="false">
      <c r="A9" s="2" t="s">
        <v>453</v>
      </c>
      <c r="B9" s="2" t="s">
        <v>454</v>
      </c>
      <c r="C9" s="2" t="s">
        <v>102</v>
      </c>
      <c r="D9" s="2" t="s">
        <v>363</v>
      </c>
      <c r="E9" s="2" t="s">
        <v>415</v>
      </c>
      <c r="F9" s="2" t="s">
        <v>455</v>
      </c>
      <c r="G9" s="2" t="n">
        <v>120</v>
      </c>
      <c r="H9" s="2" t="s">
        <v>456</v>
      </c>
      <c r="I9" s="2" t="s">
        <v>457</v>
      </c>
      <c r="J9" s="2" t="s">
        <v>458</v>
      </c>
    </row>
    <row r="10" customFormat="false" ht="35.05" hidden="false" customHeight="false" outlineLevel="0" collapsed="false">
      <c r="A10" s="2" t="s">
        <v>459</v>
      </c>
      <c r="B10" s="2" t="s">
        <v>460</v>
      </c>
      <c r="C10" s="2" t="s">
        <v>102</v>
      </c>
      <c r="D10" s="2" t="s">
        <v>372</v>
      </c>
      <c r="E10" s="2" t="s">
        <v>415</v>
      </c>
      <c r="F10" s="2" t="s">
        <v>461</v>
      </c>
      <c r="G10" s="2" t="n">
        <v>90</v>
      </c>
      <c r="H10" s="2" t="s">
        <v>462</v>
      </c>
      <c r="I10" s="2" t="s">
        <v>463</v>
      </c>
      <c r="J10" s="2" t="s">
        <v>464</v>
      </c>
    </row>
    <row r="11" customFormat="false" ht="23.85" hidden="false" customHeight="false" outlineLevel="0" collapsed="false">
      <c r="A11" s="2" t="s">
        <v>465</v>
      </c>
      <c r="B11" s="2" t="s">
        <v>466</v>
      </c>
      <c r="C11" s="2" t="s">
        <v>114</v>
      </c>
      <c r="D11" s="2" t="s">
        <v>389</v>
      </c>
      <c r="E11" s="2" t="s">
        <v>415</v>
      </c>
      <c r="F11" s="2" t="s">
        <v>467</v>
      </c>
      <c r="G11" s="2" t="n">
        <v>40</v>
      </c>
      <c r="H11" s="2" t="s">
        <v>468</v>
      </c>
      <c r="I11" s="2" t="s">
        <v>469</v>
      </c>
      <c r="J11" s="2" t="s">
        <v>470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60"/>
    <col collapsed="false" customWidth="true" hidden="false" outlineLevel="0" max="7" min="7" style="0" width="28"/>
    <col collapsed="false" customWidth="true" hidden="false" outlineLevel="0" max="8" min="8" style="0" width="18"/>
  </cols>
  <sheetData>
    <row r="1" customFormat="false" ht="30" hidden="false" customHeight="true" outlineLevel="0" collapsed="false">
      <c r="A1" s="1" t="s">
        <v>471</v>
      </c>
      <c r="B1" s="1" t="s">
        <v>0</v>
      </c>
      <c r="C1" s="1" t="s">
        <v>472</v>
      </c>
      <c r="D1" s="1" t="s">
        <v>473</v>
      </c>
      <c r="E1" s="1" t="s">
        <v>474</v>
      </c>
      <c r="F1" s="1" t="s">
        <v>475</v>
      </c>
      <c r="G1" s="1" t="s">
        <v>276</v>
      </c>
      <c r="H1" s="1" t="s">
        <v>476</v>
      </c>
    </row>
    <row r="2" customFormat="false" ht="23.85" hidden="false" customHeight="false" outlineLevel="0" collapsed="false">
      <c r="A2" s="2" t="s">
        <v>477</v>
      </c>
      <c r="B2" s="2" t="s">
        <v>15</v>
      </c>
      <c r="C2" s="2" t="s">
        <v>300</v>
      </c>
      <c r="D2" s="2" t="s">
        <v>478</v>
      </c>
      <c r="E2" s="2" t="s">
        <v>479</v>
      </c>
      <c r="F2" s="2" t="s">
        <v>480</v>
      </c>
      <c r="G2" s="2" t="s">
        <v>481</v>
      </c>
      <c r="H2" s="2" t="s">
        <v>26</v>
      </c>
    </row>
    <row r="3" customFormat="false" ht="23.85" hidden="false" customHeight="false" outlineLevel="0" collapsed="false">
      <c r="A3" s="2" t="s">
        <v>482</v>
      </c>
      <c r="B3" s="2" t="s">
        <v>15</v>
      </c>
      <c r="C3" s="2" t="s">
        <v>300</v>
      </c>
      <c r="D3" s="2" t="s">
        <v>483</v>
      </c>
      <c r="E3" s="2" t="s">
        <v>484</v>
      </c>
      <c r="F3" s="2" t="s">
        <v>485</v>
      </c>
      <c r="G3" s="2" t="s">
        <v>481</v>
      </c>
      <c r="H3" s="2" t="s">
        <v>26</v>
      </c>
    </row>
    <row r="4" customFormat="false" ht="23.85" hidden="false" customHeight="false" outlineLevel="0" collapsed="false">
      <c r="A4" s="2" t="s">
        <v>486</v>
      </c>
      <c r="B4" s="2" t="s">
        <v>29</v>
      </c>
      <c r="C4" s="2" t="s">
        <v>335</v>
      </c>
      <c r="D4" s="2" t="s">
        <v>487</v>
      </c>
      <c r="E4" s="2" t="s">
        <v>479</v>
      </c>
      <c r="F4" s="2" t="s">
        <v>488</v>
      </c>
      <c r="G4" s="2" t="s">
        <v>489</v>
      </c>
      <c r="H4" s="2" t="s">
        <v>490</v>
      </c>
    </row>
    <row r="5" customFormat="false" ht="23.85" hidden="false" customHeight="false" outlineLevel="0" collapsed="false">
      <c r="A5" s="2" t="s">
        <v>491</v>
      </c>
      <c r="B5" s="2" t="s">
        <v>29</v>
      </c>
      <c r="C5" s="2" t="s">
        <v>492</v>
      </c>
      <c r="D5" s="2" t="s">
        <v>493</v>
      </c>
      <c r="E5" s="2" t="s">
        <v>479</v>
      </c>
      <c r="F5" s="2" t="s">
        <v>494</v>
      </c>
      <c r="G5" s="2" t="s">
        <v>481</v>
      </c>
      <c r="H5" s="2" t="s">
        <v>495</v>
      </c>
    </row>
    <row r="6" customFormat="false" ht="23.85" hidden="false" customHeight="false" outlineLevel="0" collapsed="false">
      <c r="A6" s="2" t="s">
        <v>496</v>
      </c>
      <c r="B6" s="2" t="s">
        <v>43</v>
      </c>
      <c r="C6" s="2" t="s">
        <v>63</v>
      </c>
      <c r="D6" s="2" t="s">
        <v>497</v>
      </c>
      <c r="E6" s="2" t="s">
        <v>484</v>
      </c>
      <c r="F6" s="2" t="s">
        <v>498</v>
      </c>
      <c r="G6" s="2" t="s">
        <v>481</v>
      </c>
      <c r="H6" s="2" t="s">
        <v>4</v>
      </c>
    </row>
    <row r="7" customFormat="false" ht="23.85" hidden="false" customHeight="false" outlineLevel="0" collapsed="false">
      <c r="A7" s="2" t="s">
        <v>499</v>
      </c>
      <c r="B7" s="2" t="s">
        <v>54</v>
      </c>
      <c r="C7" s="2" t="s">
        <v>63</v>
      </c>
      <c r="D7" s="2" t="s">
        <v>500</v>
      </c>
      <c r="E7" s="2" t="s">
        <v>479</v>
      </c>
      <c r="F7" s="2" t="s">
        <v>501</v>
      </c>
      <c r="G7" s="2" t="s">
        <v>481</v>
      </c>
      <c r="H7" s="2" t="s">
        <v>4</v>
      </c>
    </row>
    <row r="8" customFormat="false" ht="15" hidden="false" customHeight="false" outlineLevel="0" collapsed="false">
      <c r="A8" s="2" t="s">
        <v>502</v>
      </c>
      <c r="B8" s="2" t="s">
        <v>54</v>
      </c>
      <c r="C8" s="2" t="s">
        <v>63</v>
      </c>
      <c r="D8" s="2" t="s">
        <v>503</v>
      </c>
      <c r="E8" s="2" t="s">
        <v>504</v>
      </c>
      <c r="F8" s="2" t="s">
        <v>505</v>
      </c>
      <c r="G8" s="2" t="s">
        <v>481</v>
      </c>
      <c r="H8" s="2" t="s">
        <v>4</v>
      </c>
    </row>
    <row r="9" customFormat="false" ht="23.85" hidden="false" customHeight="false" outlineLevel="0" collapsed="false">
      <c r="A9" s="2" t="s">
        <v>506</v>
      </c>
      <c r="B9" s="2" t="s">
        <v>66</v>
      </c>
      <c r="C9" s="2" t="s">
        <v>443</v>
      </c>
      <c r="D9" s="2" t="s">
        <v>478</v>
      </c>
      <c r="E9" s="2" t="s">
        <v>484</v>
      </c>
      <c r="F9" s="2" t="s">
        <v>507</v>
      </c>
      <c r="G9" s="2" t="s">
        <v>481</v>
      </c>
      <c r="H9" s="2" t="s">
        <v>508</v>
      </c>
    </row>
    <row r="10" customFormat="false" ht="23.85" hidden="false" customHeight="false" outlineLevel="0" collapsed="false">
      <c r="A10" s="2" t="s">
        <v>509</v>
      </c>
      <c r="B10" s="2" t="s">
        <v>78</v>
      </c>
      <c r="C10" s="2" t="s">
        <v>388</v>
      </c>
      <c r="D10" s="2" t="s">
        <v>510</v>
      </c>
      <c r="E10" s="2" t="s">
        <v>479</v>
      </c>
      <c r="F10" s="2" t="s">
        <v>511</v>
      </c>
      <c r="G10" s="2" t="s">
        <v>512</v>
      </c>
      <c r="H10" s="2" t="s">
        <v>508</v>
      </c>
    </row>
    <row r="11" customFormat="false" ht="15" hidden="false" customHeight="false" outlineLevel="0" collapsed="false">
      <c r="A11" s="2" t="s">
        <v>513</v>
      </c>
      <c r="B11" s="2" t="s">
        <v>78</v>
      </c>
      <c r="C11" s="2" t="s">
        <v>492</v>
      </c>
      <c r="D11" s="2" t="s">
        <v>514</v>
      </c>
      <c r="E11" s="2" t="s">
        <v>479</v>
      </c>
      <c r="F11" s="2" t="s">
        <v>515</v>
      </c>
      <c r="G11" s="2" t="s">
        <v>481</v>
      </c>
      <c r="H11" s="2" t="s">
        <v>26</v>
      </c>
    </row>
    <row r="12" customFormat="false" ht="23.85" hidden="false" customHeight="false" outlineLevel="0" collapsed="false">
      <c r="A12" s="2" t="s">
        <v>516</v>
      </c>
      <c r="B12" s="2" t="s">
        <v>88</v>
      </c>
      <c r="C12" s="2" t="s">
        <v>362</v>
      </c>
      <c r="D12" s="2" t="s">
        <v>497</v>
      </c>
      <c r="E12" s="2" t="s">
        <v>479</v>
      </c>
      <c r="F12" s="2" t="s">
        <v>517</v>
      </c>
      <c r="G12" s="2" t="s">
        <v>481</v>
      </c>
      <c r="H12" s="2" t="s">
        <v>99</v>
      </c>
    </row>
    <row r="13" customFormat="false" ht="23.85" hidden="false" customHeight="false" outlineLevel="0" collapsed="false">
      <c r="A13" s="2" t="s">
        <v>518</v>
      </c>
      <c r="B13" s="2" t="s">
        <v>102</v>
      </c>
      <c r="C13" s="2" t="s">
        <v>519</v>
      </c>
      <c r="D13" s="2" t="s">
        <v>520</v>
      </c>
      <c r="E13" s="2" t="s">
        <v>479</v>
      </c>
      <c r="F13" s="2" t="s">
        <v>521</v>
      </c>
      <c r="G13" s="2" t="s">
        <v>481</v>
      </c>
      <c r="H13" s="2" t="s">
        <v>495</v>
      </c>
    </row>
    <row r="14" customFormat="false" ht="15" hidden="false" customHeight="false" outlineLevel="0" collapsed="false">
      <c r="A14" s="2" t="s">
        <v>522</v>
      </c>
      <c r="B14" s="2" t="s">
        <v>102</v>
      </c>
      <c r="C14" s="2" t="s">
        <v>519</v>
      </c>
      <c r="D14" s="2" t="s">
        <v>503</v>
      </c>
      <c r="E14" s="2" t="s">
        <v>484</v>
      </c>
      <c r="F14" s="2" t="s">
        <v>523</v>
      </c>
      <c r="G14" s="2" t="s">
        <v>481</v>
      </c>
      <c r="H14" s="2" t="s">
        <v>4</v>
      </c>
    </row>
    <row r="15" customFormat="false" ht="23.85" hidden="false" customHeight="false" outlineLevel="0" collapsed="false">
      <c r="A15" s="2" t="s">
        <v>524</v>
      </c>
      <c r="B15" s="2" t="s">
        <v>114</v>
      </c>
      <c r="C15" s="2" t="s">
        <v>395</v>
      </c>
      <c r="D15" s="2" t="s">
        <v>500</v>
      </c>
      <c r="E15" s="2" t="s">
        <v>479</v>
      </c>
      <c r="F15" s="2" t="s">
        <v>525</v>
      </c>
      <c r="G15" s="2" t="s">
        <v>481</v>
      </c>
      <c r="H15" s="2" t="s">
        <v>26</v>
      </c>
    </row>
    <row r="16" customFormat="false" ht="15" hidden="false" customHeight="false" outlineLevel="0" collapsed="false">
      <c r="A16" s="2" t="s">
        <v>526</v>
      </c>
      <c r="B16" s="2" t="s">
        <v>114</v>
      </c>
      <c r="C16" s="2" t="s">
        <v>395</v>
      </c>
      <c r="D16" s="2" t="s">
        <v>527</v>
      </c>
      <c r="E16" s="2" t="s">
        <v>479</v>
      </c>
      <c r="F16" s="2" t="s">
        <v>528</v>
      </c>
      <c r="G16" s="2" t="s">
        <v>481</v>
      </c>
      <c r="H16" s="2" t="s">
        <v>26</v>
      </c>
    </row>
    <row r="17" customFormat="false" ht="23.85" hidden="false" customHeight="false" outlineLevel="0" collapsed="false">
      <c r="A17" s="2" t="s">
        <v>529</v>
      </c>
      <c r="B17" s="2" t="s">
        <v>127</v>
      </c>
      <c r="C17" s="2" t="s">
        <v>454</v>
      </c>
      <c r="D17" s="2" t="s">
        <v>497</v>
      </c>
      <c r="E17" s="2" t="s">
        <v>479</v>
      </c>
      <c r="F17" s="2" t="s">
        <v>530</v>
      </c>
      <c r="G17" s="2" t="s">
        <v>481</v>
      </c>
      <c r="H17" s="2" t="s">
        <v>531</v>
      </c>
    </row>
    <row r="18" customFormat="false" ht="23.85" hidden="false" customHeight="false" outlineLevel="0" collapsed="false">
      <c r="A18" s="2" t="s">
        <v>532</v>
      </c>
      <c r="B18" s="2" t="s">
        <v>127</v>
      </c>
      <c r="C18" s="2" t="s">
        <v>454</v>
      </c>
      <c r="D18" s="2" t="s">
        <v>533</v>
      </c>
      <c r="E18" s="2" t="s">
        <v>484</v>
      </c>
      <c r="F18" s="2" t="s">
        <v>534</v>
      </c>
      <c r="G18" s="2" t="s">
        <v>481</v>
      </c>
      <c r="H18" s="2" t="s">
        <v>531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28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44"/>
    <col collapsed="false" customWidth="true" hidden="false" outlineLevel="0" max="10" min="10" style="0" width="38"/>
  </cols>
  <sheetData>
    <row r="1" customFormat="false" ht="30" hidden="false" customHeight="true" outlineLevel="0" collapsed="false">
      <c r="A1" s="1" t="s">
        <v>0</v>
      </c>
      <c r="B1" s="1" t="s">
        <v>535</v>
      </c>
      <c r="C1" s="1" t="s">
        <v>536</v>
      </c>
      <c r="D1" s="1" t="s">
        <v>537</v>
      </c>
      <c r="E1" s="1" t="s">
        <v>538</v>
      </c>
      <c r="F1" s="1" t="s">
        <v>539</v>
      </c>
      <c r="G1" s="1" t="s">
        <v>540</v>
      </c>
      <c r="H1" s="1" t="s">
        <v>541</v>
      </c>
      <c r="I1" s="1" t="s">
        <v>542</v>
      </c>
      <c r="J1" s="1" t="s">
        <v>543</v>
      </c>
    </row>
    <row r="2" customFormat="false" ht="23.85" hidden="false" customHeight="false" outlineLevel="0" collapsed="false">
      <c r="A2" s="2" t="s">
        <v>15</v>
      </c>
      <c r="B2" s="2" t="s">
        <v>544</v>
      </c>
      <c r="C2" s="2" t="n">
        <v>65</v>
      </c>
      <c r="D2" s="2" t="n">
        <v>1450000</v>
      </c>
      <c r="E2" s="2" t="n">
        <v>14500</v>
      </c>
      <c r="F2" s="2" t="s">
        <v>545</v>
      </c>
      <c r="G2" s="2" t="s">
        <v>546</v>
      </c>
      <c r="H2" s="2" t="s">
        <v>300</v>
      </c>
      <c r="I2" s="2" t="s">
        <v>547</v>
      </c>
      <c r="J2" s="2" t="s">
        <v>548</v>
      </c>
    </row>
    <row r="3" customFormat="false" ht="23.85" hidden="false" customHeight="false" outlineLevel="0" collapsed="false">
      <c r="A3" s="2" t="s">
        <v>29</v>
      </c>
      <c r="B3" s="2" t="s">
        <v>549</v>
      </c>
      <c r="C3" s="2" t="n">
        <v>80</v>
      </c>
      <c r="D3" s="2" t="n">
        <v>4000000</v>
      </c>
      <c r="E3" s="2" t="n">
        <v>40000</v>
      </c>
      <c r="F3" s="2" t="s">
        <v>550</v>
      </c>
      <c r="G3" s="2" t="s">
        <v>551</v>
      </c>
      <c r="H3" s="2" t="s">
        <v>492</v>
      </c>
      <c r="I3" s="2" t="s">
        <v>552</v>
      </c>
      <c r="J3" s="2" t="s">
        <v>553</v>
      </c>
    </row>
    <row r="4" customFormat="false" ht="15" hidden="false" customHeight="false" outlineLevel="0" collapsed="false">
      <c r="A4" s="2" t="s">
        <v>43</v>
      </c>
      <c r="B4" s="2" t="s">
        <v>554</v>
      </c>
      <c r="C4" s="2" t="n">
        <v>55</v>
      </c>
      <c r="D4" s="2" t="n">
        <v>1130000</v>
      </c>
      <c r="E4" s="2" t="n">
        <v>11300</v>
      </c>
      <c r="F4" s="2" t="s">
        <v>555</v>
      </c>
      <c r="G4" s="2" t="s">
        <v>556</v>
      </c>
      <c r="H4" s="2" t="s">
        <v>335</v>
      </c>
      <c r="I4" s="2" t="s">
        <v>557</v>
      </c>
      <c r="J4" s="2" t="s">
        <v>558</v>
      </c>
    </row>
    <row r="5" customFormat="false" ht="23.85" hidden="false" customHeight="false" outlineLevel="0" collapsed="false">
      <c r="A5" s="2" t="s">
        <v>54</v>
      </c>
      <c r="B5" s="2" t="s">
        <v>559</v>
      </c>
      <c r="C5" s="2" t="n">
        <v>30</v>
      </c>
      <c r="D5" s="2" t="n">
        <v>3000000</v>
      </c>
      <c r="E5" s="2" t="n">
        <v>30000</v>
      </c>
      <c r="F5" s="2" t="s">
        <v>560</v>
      </c>
      <c r="G5" s="2" t="s">
        <v>561</v>
      </c>
      <c r="H5" s="2" t="s">
        <v>63</v>
      </c>
      <c r="I5" s="2" t="s">
        <v>562</v>
      </c>
      <c r="J5" s="2" t="s">
        <v>563</v>
      </c>
    </row>
    <row r="6" customFormat="false" ht="23.85" hidden="false" customHeight="false" outlineLevel="0" collapsed="false">
      <c r="A6" s="2" t="s">
        <v>66</v>
      </c>
      <c r="B6" s="2" t="s">
        <v>564</v>
      </c>
      <c r="C6" s="2" t="n">
        <v>50</v>
      </c>
      <c r="D6" s="2" t="n">
        <v>1750000</v>
      </c>
      <c r="E6" s="2" t="n">
        <v>17500</v>
      </c>
      <c r="F6" s="2" t="s">
        <v>565</v>
      </c>
      <c r="G6" s="2" t="s">
        <v>566</v>
      </c>
      <c r="H6" s="2" t="s">
        <v>443</v>
      </c>
      <c r="I6" s="2" t="s">
        <v>567</v>
      </c>
      <c r="J6" s="2" t="s">
        <v>568</v>
      </c>
    </row>
    <row r="7" customFormat="false" ht="23.85" hidden="false" customHeight="false" outlineLevel="0" collapsed="false">
      <c r="A7" s="2" t="s">
        <v>78</v>
      </c>
      <c r="B7" s="2" t="s">
        <v>569</v>
      </c>
      <c r="C7" s="2" t="n">
        <v>90</v>
      </c>
      <c r="D7" s="2" t="n">
        <v>720000</v>
      </c>
      <c r="E7" s="2" t="n">
        <v>7200</v>
      </c>
      <c r="F7" s="2" t="s">
        <v>570</v>
      </c>
      <c r="G7" s="2" t="s">
        <v>551</v>
      </c>
      <c r="H7" s="2" t="s">
        <v>388</v>
      </c>
      <c r="I7" s="2" t="s">
        <v>571</v>
      </c>
      <c r="J7" s="2" t="s">
        <v>572</v>
      </c>
    </row>
    <row r="8" customFormat="false" ht="23.85" hidden="false" customHeight="false" outlineLevel="0" collapsed="false">
      <c r="A8" s="2" t="s">
        <v>88</v>
      </c>
      <c r="B8" s="2" t="s">
        <v>573</v>
      </c>
      <c r="C8" s="2" t="n">
        <v>70</v>
      </c>
      <c r="D8" s="2" t="s">
        <v>574</v>
      </c>
      <c r="E8" s="2" t="n">
        <v>21600</v>
      </c>
      <c r="F8" s="2" t="s">
        <v>575</v>
      </c>
      <c r="G8" s="2" t="s">
        <v>551</v>
      </c>
      <c r="H8" s="2" t="s">
        <v>98</v>
      </c>
      <c r="I8" s="2" t="s">
        <v>576</v>
      </c>
      <c r="J8" s="2" t="s">
        <v>577</v>
      </c>
    </row>
    <row r="9" customFormat="false" ht="23.85" hidden="false" customHeight="false" outlineLevel="0" collapsed="false">
      <c r="A9" s="2" t="s">
        <v>102</v>
      </c>
      <c r="B9" s="2" t="s">
        <v>578</v>
      </c>
      <c r="C9" s="2" t="n">
        <v>45</v>
      </c>
      <c r="D9" s="2" t="n">
        <v>15500000</v>
      </c>
      <c r="E9" s="2" t="n">
        <v>155000</v>
      </c>
      <c r="F9" s="2" t="s">
        <v>579</v>
      </c>
      <c r="G9" s="2" t="s">
        <v>566</v>
      </c>
      <c r="H9" s="2" t="s">
        <v>519</v>
      </c>
      <c r="I9" s="2" t="s">
        <v>580</v>
      </c>
      <c r="J9" s="2" t="s">
        <v>581</v>
      </c>
    </row>
    <row r="10" customFormat="false" ht="23.85" hidden="false" customHeight="false" outlineLevel="0" collapsed="false">
      <c r="A10" s="2" t="s">
        <v>114</v>
      </c>
      <c r="B10" s="2" t="s">
        <v>582</v>
      </c>
      <c r="C10" s="2" t="n">
        <v>75</v>
      </c>
      <c r="D10" s="2" t="n">
        <v>720000</v>
      </c>
      <c r="E10" s="2" t="n">
        <v>7200</v>
      </c>
      <c r="F10" s="2" t="s">
        <v>583</v>
      </c>
      <c r="G10" s="2" t="s">
        <v>556</v>
      </c>
      <c r="H10" s="2" t="s">
        <v>395</v>
      </c>
      <c r="I10" s="2" t="s">
        <v>584</v>
      </c>
      <c r="J10" s="2" t="s">
        <v>585</v>
      </c>
    </row>
    <row r="11" customFormat="false" ht="23.85" hidden="false" customHeight="false" outlineLevel="0" collapsed="false">
      <c r="A11" s="2" t="s">
        <v>127</v>
      </c>
      <c r="B11" s="2" t="s">
        <v>586</v>
      </c>
      <c r="C11" s="2" t="n">
        <v>85</v>
      </c>
      <c r="D11" s="2" t="s">
        <v>587</v>
      </c>
      <c r="E11" s="2" t="n">
        <v>160000</v>
      </c>
      <c r="F11" s="2" t="s">
        <v>588</v>
      </c>
      <c r="G11" s="2" t="s">
        <v>589</v>
      </c>
      <c r="H11" s="2" t="s">
        <v>300</v>
      </c>
      <c r="I11" s="2" t="s">
        <v>590</v>
      </c>
      <c r="J11" s="2" t="s">
        <v>591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24"/>
    <col collapsed="false" customWidth="true" hidden="false" outlineLevel="0" max="5" min="5" style="0" width="90"/>
  </cols>
  <sheetData>
    <row r="1" customFormat="false" ht="30" hidden="false" customHeight="true" outlineLevel="0" collapsed="false">
      <c r="A1" s="1" t="s">
        <v>592</v>
      </c>
      <c r="B1" s="1" t="s">
        <v>0</v>
      </c>
      <c r="C1" s="1" t="s">
        <v>406</v>
      </c>
      <c r="D1" s="1" t="s">
        <v>593</v>
      </c>
      <c r="E1" s="1" t="s">
        <v>594</v>
      </c>
    </row>
    <row r="2" customFormat="false" ht="46.25" hidden="false" customHeight="false" outlineLevel="0" collapsed="false">
      <c r="A2" s="2" t="s">
        <v>595</v>
      </c>
      <c r="B2" s="2" t="s">
        <v>15</v>
      </c>
      <c r="C2" s="2" t="s">
        <v>25</v>
      </c>
      <c r="D2" s="2" t="s">
        <v>596</v>
      </c>
      <c r="E2" s="2" t="s">
        <v>597</v>
      </c>
    </row>
    <row r="3" customFormat="false" ht="23.85" hidden="false" customHeight="false" outlineLevel="0" collapsed="false">
      <c r="A3" s="2" t="s">
        <v>598</v>
      </c>
      <c r="B3" s="2" t="s">
        <v>15</v>
      </c>
      <c r="C3" s="2" t="s">
        <v>300</v>
      </c>
      <c r="D3" s="2" t="s">
        <v>599</v>
      </c>
      <c r="E3" s="2" t="s">
        <v>600</v>
      </c>
    </row>
    <row r="4" customFormat="false" ht="35.05" hidden="false" customHeight="false" outlineLevel="0" collapsed="false">
      <c r="A4" s="2" t="s">
        <v>601</v>
      </c>
      <c r="B4" s="2" t="s">
        <v>29</v>
      </c>
      <c r="C4" s="2" t="s">
        <v>318</v>
      </c>
      <c r="D4" s="2" t="s">
        <v>602</v>
      </c>
      <c r="E4" s="2" t="s">
        <v>603</v>
      </c>
    </row>
    <row r="5" customFormat="false" ht="35.05" hidden="false" customHeight="false" outlineLevel="0" collapsed="false">
      <c r="A5" s="2" t="s">
        <v>604</v>
      </c>
      <c r="B5" s="2" t="s">
        <v>29</v>
      </c>
      <c r="C5" s="2" t="s">
        <v>426</v>
      </c>
      <c r="D5" s="2" t="s">
        <v>605</v>
      </c>
      <c r="E5" s="2" t="s">
        <v>606</v>
      </c>
    </row>
    <row r="6" customFormat="false" ht="35.05" hidden="false" customHeight="false" outlineLevel="0" collapsed="false">
      <c r="A6" s="2" t="s">
        <v>607</v>
      </c>
      <c r="B6" s="2" t="s">
        <v>43</v>
      </c>
      <c r="C6" s="2" t="s">
        <v>51</v>
      </c>
      <c r="D6" s="2" t="s">
        <v>608</v>
      </c>
      <c r="E6" s="2" t="s">
        <v>609</v>
      </c>
    </row>
    <row r="7" customFormat="false" ht="35.05" hidden="false" customHeight="false" outlineLevel="0" collapsed="false">
      <c r="A7" s="2" t="s">
        <v>610</v>
      </c>
      <c r="B7" s="2" t="s">
        <v>54</v>
      </c>
      <c r="C7" s="2" t="s">
        <v>63</v>
      </c>
      <c r="D7" s="2" t="s">
        <v>611</v>
      </c>
      <c r="E7" s="2" t="s">
        <v>612</v>
      </c>
    </row>
    <row r="8" customFormat="false" ht="35.05" hidden="false" customHeight="false" outlineLevel="0" collapsed="false">
      <c r="A8" s="2" t="s">
        <v>613</v>
      </c>
      <c r="B8" s="2" t="s">
        <v>66</v>
      </c>
      <c r="C8" s="2" t="s">
        <v>74</v>
      </c>
      <c r="D8" s="2" t="s">
        <v>614</v>
      </c>
      <c r="E8" s="2" t="s">
        <v>615</v>
      </c>
    </row>
    <row r="9" customFormat="false" ht="35.05" hidden="false" customHeight="false" outlineLevel="0" collapsed="false">
      <c r="A9" s="2" t="s">
        <v>616</v>
      </c>
      <c r="B9" s="2" t="s">
        <v>66</v>
      </c>
      <c r="C9" s="2" t="s">
        <v>443</v>
      </c>
      <c r="D9" s="2" t="s">
        <v>617</v>
      </c>
      <c r="E9" s="2" t="s">
        <v>618</v>
      </c>
    </row>
    <row r="10" customFormat="false" ht="35.05" hidden="false" customHeight="false" outlineLevel="0" collapsed="false">
      <c r="A10" s="2" t="s">
        <v>619</v>
      </c>
      <c r="B10" s="2" t="s">
        <v>78</v>
      </c>
      <c r="C10" s="2" t="s">
        <v>86</v>
      </c>
      <c r="D10" s="2" t="s">
        <v>620</v>
      </c>
      <c r="E10" s="2" t="s">
        <v>621</v>
      </c>
    </row>
    <row r="11" customFormat="false" ht="35.05" hidden="false" customHeight="false" outlineLevel="0" collapsed="false">
      <c r="A11" s="2" t="s">
        <v>622</v>
      </c>
      <c r="B11" s="2" t="s">
        <v>88</v>
      </c>
      <c r="C11" s="2" t="s">
        <v>98</v>
      </c>
      <c r="D11" s="2" t="s">
        <v>623</v>
      </c>
      <c r="E11" s="2" t="s">
        <v>624</v>
      </c>
    </row>
    <row r="12" customFormat="false" ht="35.05" hidden="false" customHeight="false" outlineLevel="0" collapsed="false">
      <c r="A12" s="2" t="s">
        <v>625</v>
      </c>
      <c r="B12" s="2" t="s">
        <v>102</v>
      </c>
      <c r="C12" s="2" t="s">
        <v>454</v>
      </c>
      <c r="D12" s="2" t="s">
        <v>626</v>
      </c>
      <c r="E12" s="2" t="s">
        <v>627</v>
      </c>
    </row>
    <row r="13" customFormat="false" ht="35.05" hidden="false" customHeight="false" outlineLevel="0" collapsed="false">
      <c r="A13" s="2" t="s">
        <v>628</v>
      </c>
      <c r="B13" s="2" t="s">
        <v>114</v>
      </c>
      <c r="C13" s="2" t="s">
        <v>123</v>
      </c>
      <c r="D13" s="2" t="s">
        <v>629</v>
      </c>
      <c r="E13" s="2" t="s">
        <v>630</v>
      </c>
    </row>
    <row r="14" customFormat="false" ht="35.05" hidden="false" customHeight="false" outlineLevel="0" collapsed="false">
      <c r="A14" s="2" t="s">
        <v>631</v>
      </c>
      <c r="B14" s="2" t="s">
        <v>127</v>
      </c>
      <c r="C14" s="2" t="s">
        <v>135</v>
      </c>
      <c r="D14" s="2" t="s">
        <v>632</v>
      </c>
      <c r="E14" s="2" t="s">
        <v>633</v>
      </c>
    </row>
    <row r="15" customFormat="false" ht="35.05" hidden="false" customHeight="false" outlineLevel="0" collapsed="false">
      <c r="A15" s="2" t="s">
        <v>634</v>
      </c>
      <c r="B15" s="2" t="s">
        <v>127</v>
      </c>
      <c r="C15" s="2" t="s">
        <v>300</v>
      </c>
      <c r="D15" s="2" t="s">
        <v>635</v>
      </c>
      <c r="E15" s="2" t="s">
        <v>636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2026-05-13T07:39:18Z</dcterms:created>
  <dc:creator>openpyxl</dc:creator>
  <dc:description/>
  <dc:language>en-US</dc:language>
  <cp:lastModifiedBy/>
  <dcterms:modified xsi:type="dcterms:W3CDTF">2026-05-13T07:39:18Z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